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C:\Users\sange\Desktop\"/>
    </mc:Choice>
  </mc:AlternateContent>
  <xr:revisionPtr revIDLastSave="0" documentId="8_{DDB65613-6926-49AA-9C1B-81125C040607}" xr6:coauthVersionLast="47" xr6:coauthVersionMax="47" xr10:uidLastSave="{00000000-0000-0000-0000-000000000000}"/>
  <bookViews>
    <workbookView xWindow="-108" yWindow="-108" windowWidth="23256" windowHeight="13176" activeTab="3" xr2:uid="{00000000-000D-0000-FFFF-FFFF00000000}"/>
  </bookViews>
  <sheets>
    <sheet name="Instructions" sheetId="3" r:id="rId1"/>
    <sheet name="HR Data" sheetId="1" r:id="rId2"/>
    <sheet name="Sheet1" sheetId="4" r:id="rId3"/>
    <sheet name="Dashboard" sheetId="5" r:id="rId4"/>
  </sheets>
  <definedNames>
    <definedName name="_xlnm._FilterDatabase" localSheetId="1" hidden="1">'HR Data'!$A$4:$I$24</definedName>
    <definedName name="_xlcn.WorksheetConnection_HRDataA3M381" hidden="1">'HR Data'!$A$3:$M$38</definedName>
    <definedName name="Slicer_Department">#N/A</definedName>
    <definedName name="Slicer_Floor_No.">#N/A</definedName>
    <definedName name="Slicer_Wing">#N/A</definedName>
  </definedNames>
  <calcPr calcId="191029"/>
  <pivotCaches>
    <pivotCache cacheId="149" r:id="rId5"/>
    <pivotCache cacheId="278" r:id="rId6"/>
    <pivotCache cacheId="281" r:id="rId7"/>
    <pivotCache cacheId="287" r:id="rId8"/>
  </pivotCaches>
  <extLst>
    <ext xmlns:x14="http://schemas.microsoft.com/office/spreadsheetml/2009/9/main" uri="{876F7934-8845-4945-9796-88D515C7AA90}">
      <x14:pivotCaches>
        <pivotCache cacheId="77"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HR Data!$A$3:$M$3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5" i="1" l="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4" i="1"/>
  <c r="C35" i="1"/>
  <c r="C36" i="1"/>
  <c r="C37" i="1"/>
  <c r="C38"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3A959F-AAFE-41C6-9E98-AE903A12883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66839ED-FDA5-4769-A758-2E05476FEBBB}" name="WorksheetConnection_HR Data!$A$3:$M$38" type="102" refreshedVersion="8" minRefreshableVersion="5">
    <extLst>
      <ext xmlns:x15="http://schemas.microsoft.com/office/spreadsheetml/2010/11/main" uri="{DE250136-89BD-433C-8126-D09CA5730AF9}">
        <x15:connection id="Range" autoDelete="1">
          <x15:rangePr sourceName="_xlcn.WorksheetConnection_HRDataA3M381"/>
        </x15:connection>
      </ext>
    </extLst>
  </connection>
</connections>
</file>

<file path=xl/sharedStrings.xml><?xml version="1.0" encoding="utf-8"?>
<sst xmlns="http://schemas.openxmlformats.org/spreadsheetml/2006/main" count="243" uniqueCount="160">
  <si>
    <t>Emp ID</t>
  </si>
  <si>
    <t>Full Name</t>
  </si>
  <si>
    <t>Email</t>
  </si>
  <si>
    <t>Date of Hire</t>
  </si>
  <si>
    <t>Department</t>
  </si>
  <si>
    <t>Location</t>
  </si>
  <si>
    <t>DECKER</t>
  </si>
  <si>
    <t>BARRY</t>
  </si>
  <si>
    <t>COLE</t>
  </si>
  <si>
    <t>Daniel</t>
  </si>
  <si>
    <t>CHAFFEE</t>
  </si>
  <si>
    <t>Adam</t>
  </si>
  <si>
    <t>Facilities</t>
  </si>
  <si>
    <t>DONNELL</t>
  </si>
  <si>
    <t>Susan</t>
  </si>
  <si>
    <t>Accounting</t>
  </si>
  <si>
    <t>Elizabeth</t>
  </si>
  <si>
    <t>Human Resources</t>
  </si>
  <si>
    <t>ELLIS</t>
  </si>
  <si>
    <t>Janet</t>
  </si>
  <si>
    <t>CHUNG</t>
  </si>
  <si>
    <t>Bob</t>
  </si>
  <si>
    <t>FLANDERS</t>
  </si>
  <si>
    <t>Sabrina</t>
  </si>
  <si>
    <t>CLARK</t>
  </si>
  <si>
    <t>BOLLER</t>
  </si>
  <si>
    <t>Mary</t>
  </si>
  <si>
    <t>CAROL</t>
  </si>
  <si>
    <t>Executive</t>
  </si>
  <si>
    <t>Joe</t>
  </si>
  <si>
    <t>Customer Service</t>
  </si>
  <si>
    <t>COMUNTZIS</t>
  </si>
  <si>
    <t>Mark</t>
  </si>
  <si>
    <t>FILOSA</t>
  </si>
  <si>
    <t>Alexandra</t>
  </si>
  <si>
    <t>FERRIS</t>
  </si>
  <si>
    <t>Jim</t>
  </si>
  <si>
    <t>CHU</t>
  </si>
  <si>
    <t>Fred</t>
  </si>
  <si>
    <t>BINGA</t>
  </si>
  <si>
    <t>DESIATO</t>
  </si>
  <si>
    <t>Barbara</t>
  </si>
  <si>
    <t>Tina</t>
  </si>
  <si>
    <t>Carlton</t>
  </si>
  <si>
    <t>Samantha</t>
  </si>
  <si>
    <t>Chairs</t>
  </si>
  <si>
    <t>Mihael</t>
  </si>
  <si>
    <t>Khan</t>
  </si>
  <si>
    <t>Phoebe</t>
  </si>
  <si>
    <t>Gour</t>
  </si>
  <si>
    <t>Leighton</t>
  </si>
  <si>
    <t>Forrest</t>
  </si>
  <si>
    <t>Natasha</t>
  </si>
  <si>
    <t>Song</t>
  </si>
  <si>
    <t>Aanya</t>
  </si>
  <si>
    <t>Zhang</t>
  </si>
  <si>
    <t>Connor</t>
  </si>
  <si>
    <t>Betts</t>
  </si>
  <si>
    <t>Yvette</t>
  </si>
  <si>
    <t>Biti</t>
  </si>
  <si>
    <t>Charlie</t>
  </si>
  <si>
    <t>Bui</t>
  </si>
  <si>
    <t>Stevie</t>
  </si>
  <si>
    <t>Nicholas</t>
  </si>
  <si>
    <t>Fernandes</t>
  </si>
  <si>
    <t>Radhya</t>
  </si>
  <si>
    <t>Staples</t>
  </si>
  <si>
    <t>Preston</t>
  </si>
  <si>
    <t>Senome</t>
  </si>
  <si>
    <t>Sales</t>
  </si>
  <si>
    <t>Eric</t>
  </si>
  <si>
    <t>Mei</t>
  </si>
  <si>
    <t>WANG</t>
  </si>
  <si>
    <t>ANNA</t>
  </si>
  <si>
    <t>Sean</t>
  </si>
  <si>
    <t>SANDERS</t>
  </si>
  <si>
    <t>elizabeth</t>
  </si>
  <si>
    <t>IT</t>
  </si>
  <si>
    <t>Uma</t>
  </si>
  <si>
    <t>CHAUDRI</t>
  </si>
  <si>
    <t>Wing</t>
  </si>
  <si>
    <t>ZenCo HR Database</t>
  </si>
  <si>
    <t>Bacata</t>
  </si>
  <si>
    <t>02-West-2635 </t>
  </si>
  <si>
    <t>02-West-2018 </t>
  </si>
  <si>
    <t>02-NorthEast-2347 </t>
  </si>
  <si>
    <t>03-West-2764 </t>
  </si>
  <si>
    <t>03-East-2318 </t>
  </si>
  <si>
    <t>02-East-2694 </t>
  </si>
  <si>
    <t>02-West-2699 </t>
  </si>
  <si>
    <t>01-East-2321 </t>
  </si>
  <si>
    <t>03-West-2432 </t>
  </si>
  <si>
    <t>02-West-2962 </t>
  </si>
  <si>
    <t>01-West-2425 </t>
  </si>
  <si>
    <t>03-West-2796 </t>
  </si>
  <si>
    <t>03-West-2601 </t>
  </si>
  <si>
    <t>02-NorthEast-2414 </t>
  </si>
  <si>
    <t>02-West-2537 </t>
  </si>
  <si>
    <t>02-West-2286 </t>
  </si>
  <si>
    <t>01-East-2358 </t>
  </si>
  <si>
    <t>03-West-2082 </t>
  </si>
  <si>
    <t>03-NorthEast-2482 </t>
  </si>
  <si>
    <t>02-East-2372 </t>
  </si>
  <si>
    <t>03-East-2392 </t>
  </si>
  <si>
    <t>02-West-2279 </t>
  </si>
  <si>
    <t>02-East-2639 </t>
  </si>
  <si>
    <t>02-East-2284 </t>
  </si>
  <si>
    <t>02-East-2910 </t>
  </si>
  <si>
    <t>02-NorthEast-2294 </t>
  </si>
  <si>
    <t>03-West-2765 </t>
  </si>
  <si>
    <t>02-East-2260 </t>
  </si>
  <si>
    <t>02-East-2578 </t>
  </si>
  <si>
    <t>02-East-2654 </t>
  </si>
  <si>
    <t>01-West-2783 </t>
  </si>
  <si>
    <t>02-East-2793 </t>
  </si>
  <si>
    <t>02-West-2589 _x001F_</t>
  </si>
  <si>
    <t>03-East-2134 _x001F_</t>
  </si>
  <si>
    <t>01-East-2086 _x001F_</t>
  </si>
  <si>
    <t>Instructions</t>
  </si>
  <si>
    <t>1)</t>
  </si>
  <si>
    <t>b)</t>
  </si>
  <si>
    <t>2)</t>
  </si>
  <si>
    <t>Hint</t>
  </si>
  <si>
    <t>Floor No.</t>
  </si>
  <si>
    <t>Last Name</t>
  </si>
  <si>
    <t>First Name</t>
  </si>
  <si>
    <t>Full/Part Time</t>
  </si>
  <si>
    <t>F</t>
  </si>
  <si>
    <t>P</t>
  </si>
  <si>
    <t>Emp No.</t>
  </si>
  <si>
    <t>5a)</t>
  </si>
  <si>
    <t>6a)</t>
  </si>
  <si>
    <t>3a)</t>
  </si>
  <si>
    <t>4a)</t>
  </si>
  <si>
    <t>You will notice that instead of getting four numbers you only got 3 or in some cases 2, adjust the formula so that you get the 4 digit extension code in each case.</t>
  </si>
  <si>
    <t xml:space="preserve">Extension </t>
  </si>
  <si>
    <t>The finished sheet should look like this:</t>
  </si>
  <si>
    <t>Week 1 Practice Challenge</t>
  </si>
  <si>
    <r>
      <t xml:space="preserve">All the following instructions are to be carried out in the </t>
    </r>
    <r>
      <rPr>
        <b/>
        <sz val="11"/>
        <color theme="1"/>
        <rFont val="Calibri"/>
        <family val="2"/>
        <scheme val="minor"/>
      </rPr>
      <t>HR Data</t>
    </r>
    <r>
      <rPr>
        <sz val="11"/>
        <color theme="1"/>
        <rFont val="Calibri"/>
        <family val="2"/>
        <scheme val="minor"/>
      </rPr>
      <t xml:space="preserve"> sheet. To get help with the more difficult questions click on the </t>
    </r>
    <r>
      <rPr>
        <b/>
        <sz val="11"/>
        <color theme="1"/>
        <rFont val="Calibri"/>
        <family val="2"/>
        <scheme val="minor"/>
      </rPr>
      <t>Hint</t>
    </r>
    <r>
      <rPr>
        <sz val="11"/>
        <color theme="1"/>
        <rFont val="Calibri"/>
        <family val="2"/>
        <scheme val="minor"/>
      </rPr>
      <t xml:space="preserve"> to the right.</t>
    </r>
  </si>
  <si>
    <r>
      <t xml:space="preserve">In </t>
    </r>
    <r>
      <rPr>
        <b/>
        <sz val="11"/>
        <color theme="1"/>
        <rFont val="Calibri"/>
        <family val="2"/>
        <scheme val="minor"/>
      </rPr>
      <t>C4</t>
    </r>
    <r>
      <rPr>
        <sz val="11"/>
        <color theme="1"/>
        <rFont val="Calibri"/>
        <family val="2"/>
        <scheme val="minor"/>
      </rPr>
      <t xml:space="preserve">, in the HR Data sheet join the data in </t>
    </r>
    <r>
      <rPr>
        <b/>
        <sz val="11"/>
        <color theme="1"/>
        <rFont val="Calibri"/>
        <family val="2"/>
        <scheme val="minor"/>
      </rPr>
      <t>A4</t>
    </r>
    <r>
      <rPr>
        <sz val="11"/>
        <color theme="1"/>
        <rFont val="Calibri"/>
        <family val="2"/>
        <scheme val="minor"/>
      </rPr>
      <t xml:space="preserve"> and </t>
    </r>
    <r>
      <rPr>
        <b/>
        <sz val="11"/>
        <color theme="1"/>
        <rFont val="Calibri"/>
        <family val="2"/>
        <scheme val="minor"/>
      </rPr>
      <t>B4</t>
    </r>
    <r>
      <rPr>
        <sz val="11"/>
        <color theme="1"/>
        <rFont val="Calibri"/>
        <family val="2"/>
        <scheme val="minor"/>
      </rPr>
      <t xml:space="preserve"> to create the employee ID </t>
    </r>
    <r>
      <rPr>
        <b/>
        <sz val="11"/>
        <color theme="1"/>
        <rFont val="Calibri"/>
        <family val="2"/>
        <scheme val="minor"/>
      </rPr>
      <t>F1180</t>
    </r>
    <r>
      <rPr>
        <sz val="11"/>
        <color theme="1"/>
        <rFont val="Calibri"/>
        <family val="2"/>
        <scheme val="minor"/>
      </rPr>
      <t>. Copy the formula down for the rest of the staff.</t>
    </r>
  </si>
  <si>
    <r>
      <t xml:space="preserve">In </t>
    </r>
    <r>
      <rPr>
        <b/>
        <sz val="11"/>
        <color theme="1"/>
        <rFont val="Calibri"/>
        <family val="2"/>
        <scheme val="minor"/>
      </rPr>
      <t>F4</t>
    </r>
    <r>
      <rPr>
        <sz val="11"/>
        <color theme="1"/>
        <rFont val="Calibri"/>
        <family val="2"/>
        <scheme val="minor"/>
      </rPr>
      <t>, generate the full name for each staff member by joining the first name, a space and the surname.</t>
    </r>
  </si>
  <si>
    <r>
      <t xml:space="preserve">Adjust the formula in </t>
    </r>
    <r>
      <rPr>
        <b/>
        <sz val="11"/>
        <color theme="1"/>
        <rFont val="Calibri"/>
        <family val="2"/>
        <scheme val="minor"/>
      </rPr>
      <t>L4</t>
    </r>
    <r>
      <rPr>
        <sz val="11"/>
        <color theme="1"/>
        <rFont val="Calibri"/>
        <family val="2"/>
        <scheme val="minor"/>
      </rPr>
      <t xml:space="preserve"> so that all instances of </t>
    </r>
    <r>
      <rPr>
        <b/>
        <sz val="11"/>
        <color theme="1"/>
        <rFont val="Calibri"/>
        <family val="2"/>
        <scheme val="minor"/>
      </rPr>
      <t>NorthEast</t>
    </r>
    <r>
      <rPr>
        <sz val="11"/>
        <color theme="1"/>
        <rFont val="Calibri"/>
        <family val="2"/>
        <scheme val="minor"/>
      </rPr>
      <t xml:space="preserve"> are replaced with just </t>
    </r>
    <r>
      <rPr>
        <b/>
        <sz val="11"/>
        <color theme="1"/>
        <rFont val="Calibri"/>
        <family val="2"/>
        <scheme val="minor"/>
      </rPr>
      <t>North</t>
    </r>
    <r>
      <rPr>
        <sz val="11"/>
        <color theme="1"/>
        <rFont val="Calibri"/>
        <family val="2"/>
        <scheme val="minor"/>
      </rPr>
      <t xml:space="preserve"> and copy down again.</t>
    </r>
  </si>
  <si>
    <r>
      <t xml:space="preserve">In </t>
    </r>
    <r>
      <rPr>
        <b/>
        <sz val="11"/>
        <color theme="1"/>
        <rFont val="Calibri"/>
        <family val="2"/>
        <scheme val="minor"/>
      </rPr>
      <t>G4</t>
    </r>
    <r>
      <rPr>
        <sz val="11"/>
        <color theme="1"/>
        <rFont val="Calibri"/>
        <family val="2"/>
        <scheme val="minor"/>
      </rPr>
      <t>, generate an email address by joining  the first letter of the first name, the surname and "@zenco.com" to get Sbacata@zenco.com.</t>
    </r>
  </si>
  <si>
    <r>
      <t xml:space="preserve">In </t>
    </r>
    <r>
      <rPr>
        <b/>
        <sz val="11"/>
        <color theme="1"/>
        <rFont val="Calibri"/>
        <family val="2"/>
        <scheme val="minor"/>
      </rPr>
      <t>L4</t>
    </r>
    <r>
      <rPr>
        <sz val="11"/>
        <color theme="1"/>
        <rFont val="Calibri"/>
        <family val="2"/>
        <scheme val="minor"/>
      </rPr>
      <t>, extract the text between the two dashes (</t>
    </r>
    <r>
      <rPr>
        <b/>
        <sz val="11"/>
        <color theme="1"/>
        <rFont val="Calibri"/>
        <family val="2"/>
        <scheme val="minor"/>
      </rPr>
      <t>West</t>
    </r>
    <r>
      <rPr>
        <sz val="11"/>
        <color theme="1"/>
        <rFont val="Calibri"/>
        <family val="2"/>
        <scheme val="minor"/>
      </rPr>
      <t>) in Location then copy down to make sure it works for all staff.</t>
    </r>
  </si>
  <si>
    <r>
      <t xml:space="preserve">In </t>
    </r>
    <r>
      <rPr>
        <b/>
        <sz val="11"/>
        <color theme="1"/>
        <rFont val="Calibri"/>
        <family val="2"/>
        <scheme val="minor"/>
      </rPr>
      <t>M4</t>
    </r>
    <r>
      <rPr>
        <sz val="11"/>
        <color theme="1"/>
        <rFont val="Calibri"/>
        <family val="2"/>
        <scheme val="minor"/>
      </rPr>
      <t xml:space="preserve">, extract the last 4 characters from the </t>
    </r>
    <r>
      <rPr>
        <b/>
        <sz val="11"/>
        <color theme="1"/>
        <rFont val="Calibri"/>
        <family val="2"/>
        <scheme val="minor"/>
      </rPr>
      <t>Location</t>
    </r>
    <r>
      <rPr>
        <sz val="11"/>
        <color theme="1"/>
        <rFont val="Calibri"/>
        <family val="2"/>
        <scheme val="minor"/>
      </rPr>
      <t xml:space="preserve"> in </t>
    </r>
    <r>
      <rPr>
        <b/>
        <sz val="11"/>
        <color theme="1"/>
        <rFont val="Calibri"/>
        <family val="2"/>
        <scheme val="minor"/>
      </rPr>
      <t>J4</t>
    </r>
    <r>
      <rPr>
        <sz val="11"/>
        <color theme="1"/>
        <rFont val="Calibri"/>
        <family val="2"/>
        <scheme val="minor"/>
      </rPr>
      <t>.</t>
    </r>
  </si>
  <si>
    <r>
      <t xml:space="preserve">In </t>
    </r>
    <r>
      <rPr>
        <b/>
        <sz val="11"/>
        <color theme="1"/>
        <rFont val="Calibri"/>
        <family val="2"/>
        <scheme val="minor"/>
      </rPr>
      <t>K4</t>
    </r>
    <r>
      <rPr>
        <sz val="11"/>
        <color theme="1"/>
        <rFont val="Calibri"/>
        <family val="2"/>
        <scheme val="minor"/>
      </rPr>
      <t xml:space="preserve">, extract just the floor number from </t>
    </r>
    <r>
      <rPr>
        <b/>
        <sz val="11"/>
        <color theme="1"/>
        <rFont val="Calibri"/>
        <family val="2"/>
        <scheme val="minor"/>
      </rPr>
      <t>J4</t>
    </r>
    <r>
      <rPr>
        <sz val="11"/>
        <color theme="1"/>
        <rFont val="Calibri"/>
        <family val="2"/>
        <scheme val="minor"/>
      </rPr>
      <t xml:space="preserve"> (first 2 numbers) and then copy it down.</t>
    </r>
  </si>
  <si>
    <r>
      <t xml:space="preserve">Add another function to the calculation in </t>
    </r>
    <r>
      <rPr>
        <b/>
        <sz val="11"/>
        <color theme="1"/>
        <rFont val="Calibri"/>
        <family val="2"/>
        <scheme val="minor"/>
      </rPr>
      <t>F4</t>
    </r>
    <r>
      <rPr>
        <sz val="11"/>
        <color theme="1"/>
        <rFont val="Calibri"/>
        <family val="2"/>
        <scheme val="minor"/>
      </rPr>
      <t xml:space="preserve"> so that all the names show in Proper case and then copy the calculation down.</t>
    </r>
  </si>
  <si>
    <r>
      <t xml:space="preserve">Adjust the calculation in </t>
    </r>
    <r>
      <rPr>
        <b/>
        <sz val="11"/>
        <color theme="1"/>
        <rFont val="Calibri"/>
        <family val="2"/>
        <scheme val="minor"/>
      </rPr>
      <t>G4</t>
    </r>
    <r>
      <rPr>
        <sz val="11"/>
        <color theme="1"/>
        <rFont val="Calibri"/>
        <family val="2"/>
        <scheme val="minor"/>
      </rPr>
      <t xml:space="preserve"> so that the email is shown in all lower case and copy it down.</t>
    </r>
  </si>
  <si>
    <t>Excel Skills for Data Analytics and Visualization</t>
  </si>
  <si>
    <t>Course 1 — Excel Fundamentals for Data Analysis</t>
  </si>
  <si>
    <t xml:space="preserve">7) </t>
  </si>
  <si>
    <t>Make  one Macro enabled Dashboard .</t>
  </si>
  <si>
    <t>Grand Total</t>
  </si>
  <si>
    <t>Count of Emp ID</t>
  </si>
  <si>
    <t>East</t>
  </si>
  <si>
    <t>North</t>
  </si>
  <si>
    <t>West</t>
  </si>
  <si>
    <t>01</t>
  </si>
  <si>
    <t>02</t>
  </si>
  <si>
    <t>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</si>
</sst>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Calibri"/>
      <family val="2"/>
      <scheme val="minor"/>
    </font>
    <font>
      <sz val="18"/>
      <color theme="3"/>
      <name val="Calibri Light"/>
      <family val="2"/>
      <scheme val="major"/>
    </font>
    <font>
      <sz val="11"/>
      <color theme="0"/>
      <name val="Calibri"/>
      <family val="2"/>
      <scheme val="minor"/>
    </font>
    <font>
      <sz val="11"/>
      <name val="Calibri"/>
      <family val="2"/>
      <scheme val="minor"/>
    </font>
    <font>
      <sz val="12"/>
      <color theme="0"/>
      <name val="Calibri"/>
      <family val="2"/>
      <scheme val="minor"/>
    </font>
    <font>
      <sz val="11"/>
      <color rgb="FF000000"/>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24"/>
      <color theme="1"/>
      <name val="Calibri"/>
      <family val="2"/>
      <scheme val="minor"/>
    </font>
    <font>
      <b/>
      <sz val="14"/>
      <color theme="1"/>
      <name val="Calibri"/>
      <family val="2"/>
      <scheme val="minor"/>
    </font>
    <font>
      <sz val="11"/>
      <color rgb="FFC00000"/>
      <name val="Calibri"/>
      <family val="2"/>
      <scheme val="minor"/>
    </font>
  </fonts>
  <fills count="4">
    <fill>
      <patternFill patternType="none"/>
    </fill>
    <fill>
      <patternFill patternType="gray125"/>
    </fill>
    <fill>
      <patternFill patternType="solid">
        <fgColor theme="4"/>
      </patternFill>
    </fill>
    <fill>
      <patternFill patternType="solid">
        <fgColor theme="0" tint="-4.9989318521683403E-2"/>
        <bgColor indexed="64"/>
      </patternFill>
    </fill>
  </fills>
  <borders count="2">
    <border>
      <left/>
      <right/>
      <top/>
      <bottom/>
      <diagonal/>
    </border>
    <border>
      <left/>
      <right/>
      <top/>
      <bottom style="medium">
        <color indexed="64"/>
      </bottom>
      <diagonal/>
    </border>
  </borders>
  <cellStyleXfs count="3">
    <xf numFmtId="0" fontId="0" fillId="0" borderId="0"/>
    <xf numFmtId="0" fontId="1" fillId="0" borderId="0" applyNumberFormat="0" applyFill="0" applyBorder="0" applyAlignment="0" applyProtection="0"/>
    <xf numFmtId="0" fontId="2" fillId="2" borderId="0" applyNumberFormat="0" applyBorder="0" applyAlignment="0" applyProtection="0"/>
  </cellStyleXfs>
  <cellXfs count="17">
    <xf numFmtId="0" fontId="0" fillId="0" borderId="0" xfId="0"/>
    <xf numFmtId="14" fontId="0" fillId="0" borderId="0" xfId="0" applyNumberFormat="1"/>
    <xf numFmtId="0" fontId="3" fillId="0" borderId="0" xfId="0" applyFont="1" applyAlignment="1">
      <alignment horizontal="left" wrapText="1"/>
    </xf>
    <xf numFmtId="0" fontId="1" fillId="0" borderId="0" xfId="1"/>
    <xf numFmtId="0" fontId="4" fillId="2" borderId="0" xfId="2" applyFont="1" applyBorder="1" applyAlignment="1">
      <alignment horizontal="left" wrapText="1"/>
    </xf>
    <xf numFmtId="0" fontId="5" fillId="0" borderId="0" xfId="0" applyFont="1" applyAlignment="1">
      <alignment wrapText="1"/>
    </xf>
    <xf numFmtId="0" fontId="0" fillId="0" borderId="1" xfId="0" applyBorder="1"/>
    <xf numFmtId="0" fontId="0" fillId="0" borderId="0" xfId="0" applyAlignment="1">
      <alignment horizontal="right"/>
    </xf>
    <xf numFmtId="0" fontId="11" fillId="0" borderId="0" xfId="0" applyFont="1" applyAlignment="1">
      <alignment horizontal="right"/>
    </xf>
    <xf numFmtId="0" fontId="1" fillId="0" borderId="0" xfId="1" applyAlignment="1">
      <alignment horizontal="left"/>
    </xf>
    <xf numFmtId="0" fontId="0" fillId="0" borderId="0" xfId="0" applyAlignment="1">
      <alignment horizontal="left"/>
    </xf>
    <xf numFmtId="0" fontId="7" fillId="0" borderId="1" xfId="0" applyFont="1" applyBorder="1" applyAlignment="1">
      <alignment horizontal="left"/>
    </xf>
    <xf numFmtId="0" fontId="10" fillId="3" borderId="0" xfId="0" applyFont="1" applyFill="1" applyAlignment="1">
      <alignment horizontal="center" vertical="center"/>
    </xf>
    <xf numFmtId="0" fontId="9" fillId="0" borderId="0" xfId="0" applyFont="1" applyAlignment="1">
      <alignment horizontal="center"/>
    </xf>
    <xf numFmtId="0" fontId="8" fillId="0" borderId="0" xfId="0" applyFont="1" applyAlignment="1">
      <alignment horizontal="center"/>
    </xf>
    <xf numFmtId="0" fontId="0" fillId="0" borderId="0" xfId="0" pivotButton="1"/>
    <xf numFmtId="0" fontId="0" fillId="0" borderId="0" xfId="0" applyNumberFormat="1"/>
  </cellXfs>
  <cellStyles count="3">
    <cellStyle name="Accent1" xfId="2" builtinId="29"/>
    <cellStyle name="Normal" xfId="0" builtinId="0"/>
    <cellStyle name="Title" xfId="1" builtinId="15"/>
  </cellStyles>
  <dxfs count="2">
    <dxf>
      <fill>
        <patternFill>
          <bgColor theme="0" tint="-4.9989318521683403E-2"/>
        </patternFill>
      </fill>
      <border diagonalUp="0" diagonalDown="0">
        <left/>
        <right/>
        <top/>
        <bottom/>
        <vertical/>
        <horizontal/>
      </border>
    </dxf>
    <dxf>
      <fill>
        <patternFill>
          <bgColor theme="3" tint="-0.24994659260841701"/>
        </patternFill>
      </fill>
      <border diagonalUp="0" diagonalDown="0">
        <left/>
        <right/>
        <top/>
        <bottom/>
        <vertical/>
        <horizontal/>
      </border>
    </dxf>
  </dxfs>
  <tableStyles count="2" defaultTableStyle="TableStyleMedium2" defaultPivotStyle="PivotStyleLight16">
    <tableStyle name="Invisible" pivot="0" table="0" count="0" xr9:uid="{C7AB5486-B880-4551-9DA1-A17A715336B9}"/>
    <tableStyle name="Slicer Style 1" pivot="0" table="0" count="10" xr9:uid="{0A91E753-4BE7-4A05-A715-24C40A16631E}">
      <tableStyleElement type="wholeTable" dxfId="1"/>
      <tableStyleElement type="headerRow" dxfId="0"/>
    </tableStyle>
  </tableStyles>
  <extLst>
    <ext xmlns:x14="http://schemas.microsoft.com/office/spreadsheetml/2009/9/main" uri="{46F421CA-312F-682f-3DD2-61675219B42D}">
      <x14:dxfs count="8">
        <dxf>
          <fill>
            <patternFill>
              <bgColor theme="9" tint="0.79998168889431442"/>
            </patternFill>
          </fill>
          <border diagonalUp="0" diagonalDown="0">
            <left/>
            <right/>
            <top/>
            <bottom/>
            <vertical/>
            <horizontal/>
          </border>
        </dxf>
        <dxf>
          <fill>
            <patternFill>
              <bgColor theme="2" tint="-0.749961851863155"/>
            </patternFill>
          </fill>
          <border diagonalUp="0" diagonalDown="0">
            <left/>
            <right/>
            <top/>
            <bottom/>
            <vertical/>
            <horizontal/>
          </border>
        </dxf>
        <dxf>
          <fill>
            <patternFill>
              <bgColor theme="9" tint="0.79998168889431442"/>
            </patternFill>
          </fill>
          <border diagonalUp="0" diagonalDown="0">
            <left/>
            <right/>
            <top/>
            <bottom/>
            <vertical/>
            <horizontal/>
          </border>
        </dxf>
        <dxf>
          <fill>
            <patternFill>
              <bgColor theme="2" tint="-0.24994659260841701"/>
            </patternFill>
          </fill>
          <border diagonalUp="0" diagonalDown="0">
            <left/>
            <right/>
            <top/>
            <bottom/>
            <vertical/>
            <horizontal/>
          </border>
        </dxf>
        <dxf>
          <fill>
            <patternFill>
              <bgColor theme="0"/>
            </patternFill>
          </fill>
          <border diagonalUp="0" diagonalDown="0">
            <left/>
            <right/>
            <top/>
            <bottom/>
            <vertical/>
            <horizontal/>
          </border>
        </dxf>
        <dxf>
          <fill>
            <patternFill>
              <bgColor theme="0"/>
            </patternFill>
          </fill>
          <border diagonalUp="0" diagonalDown="0">
            <left/>
            <right/>
            <top/>
            <bottom/>
            <vertical/>
            <horizontal/>
          </border>
        </dxf>
        <dxf>
          <fill>
            <patternFill>
              <bgColor theme="0" tint="-4.9989318521683403E-2"/>
            </patternFill>
          </fill>
          <border diagonalUp="0" diagonalDown="0">
            <left/>
            <right/>
            <top/>
            <bottom/>
            <vertical/>
            <horizontal/>
          </border>
        </dxf>
        <dxf>
          <fill>
            <patternFill>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[Hr_Analytics_dashboard.xlsx]Sheet1!PivotTable2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Employees</a:t>
            </a:r>
            <a:r>
              <a:rPr lang="en-US" baseline="0"/>
              <a:t> By Location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B0F0"/>
          </a:solidFill>
          <a:ln>
            <a:solidFill>
              <a:schemeClr val="tx2">
                <a:lumMod val="75000"/>
              </a:schemeClr>
            </a:solid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c:f>
              <c:strCache>
                <c:ptCount val="1"/>
                <c:pt idx="0">
                  <c:v>Total</c:v>
                </c:pt>
              </c:strCache>
            </c:strRef>
          </c:tx>
          <c:spPr>
            <a:solidFill>
              <a:srgbClr val="00B0F0"/>
            </a:solidFill>
            <a:ln>
              <a:solidFill>
                <a:schemeClr val="tx2">
                  <a:lumMod val="75000"/>
                </a:schemeClr>
              </a:solid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Sheet1!$D$3:$D$6</c:f>
              <c:strCache>
                <c:ptCount val="3"/>
                <c:pt idx="0">
                  <c:v>East</c:v>
                </c:pt>
                <c:pt idx="1">
                  <c:v>North</c:v>
                </c:pt>
                <c:pt idx="2">
                  <c:v>West</c:v>
                </c:pt>
              </c:strCache>
            </c:strRef>
          </c:cat>
          <c:val>
            <c:numRef>
              <c:f>Sheet1!$E$3:$E$6</c:f>
              <c:numCache>
                <c:formatCode>General</c:formatCode>
                <c:ptCount val="3"/>
                <c:pt idx="0">
                  <c:v>15</c:v>
                </c:pt>
                <c:pt idx="1">
                  <c:v>4</c:v>
                </c:pt>
                <c:pt idx="2">
                  <c:v>16</c:v>
                </c:pt>
              </c:numCache>
            </c:numRef>
          </c:val>
          <c:extLst>
            <c:ext xmlns:c16="http://schemas.microsoft.com/office/drawing/2014/chart" uri="{C3380CC4-5D6E-409C-BE32-E72D297353CC}">
              <c16:uniqueId val="{00000000-6265-440A-9425-7FFBCB5FEEDE}"/>
            </c:ext>
          </c:extLst>
        </c:ser>
        <c:dLbls>
          <c:showLegendKey val="0"/>
          <c:showVal val="0"/>
          <c:showCatName val="0"/>
          <c:showSerName val="0"/>
          <c:showPercent val="0"/>
          <c:showBubbleSize val="0"/>
        </c:dLbls>
        <c:gapWidth val="100"/>
        <c:overlap val="-24"/>
        <c:axId val="1826527632"/>
        <c:axId val="1826526192"/>
      </c:barChart>
      <c:catAx>
        <c:axId val="1826527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6526192"/>
        <c:crosses val="autoZero"/>
        <c:auto val="1"/>
        <c:lblAlgn val="ctr"/>
        <c:lblOffset val="100"/>
        <c:noMultiLvlLbl val="0"/>
      </c:catAx>
      <c:valAx>
        <c:axId val="18265261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652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[Hr_Analytics_dashboard.xlsx]Sheet1!PivotTable3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Empoyees</a:t>
            </a:r>
            <a:r>
              <a:rPr lang="en-IN" baseline="0"/>
              <a:t> By Department</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Sheet1!$I$2</c:f>
              <c:strCache>
                <c:ptCount val="1"/>
                <c:pt idx="0">
                  <c:v>Total</c:v>
                </c:pt>
              </c:strCache>
            </c:strRef>
          </c:tx>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cat>
            <c:strRef>
              <c:f>Sheet1!$H$3:$H$10</c:f>
              <c:strCache>
                <c:ptCount val="7"/>
                <c:pt idx="0">
                  <c:v>Accounting</c:v>
                </c:pt>
                <c:pt idx="1">
                  <c:v>Customer Service</c:v>
                </c:pt>
                <c:pt idx="2">
                  <c:v>Executive</c:v>
                </c:pt>
                <c:pt idx="3">
                  <c:v>Facilities</c:v>
                </c:pt>
                <c:pt idx="4">
                  <c:v>Human Resources</c:v>
                </c:pt>
                <c:pt idx="5">
                  <c:v>IT</c:v>
                </c:pt>
                <c:pt idx="6">
                  <c:v>Sales</c:v>
                </c:pt>
              </c:strCache>
            </c:strRef>
          </c:cat>
          <c:val>
            <c:numRef>
              <c:f>Sheet1!$I$3:$I$10</c:f>
              <c:numCache>
                <c:formatCode>General</c:formatCode>
                <c:ptCount val="7"/>
                <c:pt idx="0">
                  <c:v>4</c:v>
                </c:pt>
                <c:pt idx="1">
                  <c:v>5</c:v>
                </c:pt>
                <c:pt idx="2">
                  <c:v>2</c:v>
                </c:pt>
                <c:pt idx="3">
                  <c:v>1</c:v>
                </c:pt>
                <c:pt idx="4">
                  <c:v>3</c:v>
                </c:pt>
                <c:pt idx="5">
                  <c:v>5</c:v>
                </c:pt>
                <c:pt idx="6">
                  <c:v>15</c:v>
                </c:pt>
              </c:numCache>
            </c:numRef>
          </c:val>
          <c:extLst>
            <c:ext xmlns:c16="http://schemas.microsoft.com/office/drawing/2014/chart" uri="{C3380CC4-5D6E-409C-BE32-E72D297353CC}">
              <c16:uniqueId val="{00000000-53BD-41E8-817D-19720D7AC4E1}"/>
            </c:ext>
          </c:extLst>
        </c:ser>
        <c:dLbls>
          <c:showLegendKey val="0"/>
          <c:showVal val="0"/>
          <c:showCatName val="0"/>
          <c:showSerName val="0"/>
          <c:showPercent val="0"/>
          <c:showBubbleSize val="0"/>
        </c:dLbls>
        <c:axId val="1101001328"/>
        <c:axId val="1101002288"/>
      </c:radarChart>
      <c:catAx>
        <c:axId val="1101001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1002288"/>
        <c:crosses val="autoZero"/>
        <c:auto val="1"/>
        <c:lblAlgn val="ctr"/>
        <c:lblOffset val="100"/>
        <c:noMultiLvlLbl val="0"/>
      </c:catAx>
      <c:valAx>
        <c:axId val="11010022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100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[Hr_Analytics_dashboard.xlsx]Sheet1!PivotTable4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Employees</a:t>
            </a:r>
            <a:r>
              <a:rPr lang="en-US" baseline="0"/>
              <a:t> by floor</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s>
    <c:plotArea>
      <c:layout/>
      <c:pieChart>
        <c:varyColors val="1"/>
        <c:ser>
          <c:idx val="0"/>
          <c:order val="0"/>
          <c:tx>
            <c:strRef>
              <c:f>Sheet1!$M$2</c:f>
              <c:strCache>
                <c:ptCount val="1"/>
                <c:pt idx="0">
                  <c:v>Total</c:v>
                </c:pt>
              </c:strCache>
            </c:strRef>
          </c:tx>
          <c:dPt>
            <c:idx val="0"/>
            <c:bubble3D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dPt>
          <c:dPt>
            <c:idx val="1"/>
            <c:bubble3D val="0"/>
            <c:spPr>
              <a:solidFill>
                <a:schemeClr val="tx2">
                  <a:lumMod val="75000"/>
                </a:schemeClr>
              </a:soli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2-0B4D-435D-B90C-FCFD7F874E3D}"/>
              </c:ext>
            </c:extLst>
          </c:dPt>
          <c:dPt>
            <c:idx val="2"/>
            <c:bubble3D val="0"/>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Sheet1!$L$3:$L$6</c:f>
              <c:strCache>
                <c:ptCount val="3"/>
                <c:pt idx="0">
                  <c:v>01</c:v>
                </c:pt>
                <c:pt idx="1">
                  <c:v>02</c:v>
                </c:pt>
                <c:pt idx="2">
                  <c:v>03</c:v>
                </c:pt>
              </c:strCache>
            </c:strRef>
          </c:cat>
          <c:val>
            <c:numRef>
              <c:f>Sheet1!$M$3:$M$6</c:f>
              <c:numCache>
                <c:formatCode>General</c:formatCode>
                <c:ptCount val="3"/>
                <c:pt idx="0">
                  <c:v>5</c:v>
                </c:pt>
                <c:pt idx="1">
                  <c:v>20</c:v>
                </c:pt>
                <c:pt idx="2">
                  <c:v>10</c:v>
                </c:pt>
              </c:numCache>
            </c:numRef>
          </c:val>
          <c:extLst>
            <c:ext xmlns:c16="http://schemas.microsoft.com/office/drawing/2014/chart" uri="{C3380CC4-5D6E-409C-BE32-E72D297353CC}">
              <c16:uniqueId val="{00000000-0B4D-435D-B90C-FCFD7F874E3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[Hr_Analytics_dashboard.xlsx]Sheet1!PivotTable2</c:name>
    <c:fmtId val="5"/>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baseline="0"/>
              <a:t>Employees By Location</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B0F0"/>
          </a:solidFill>
          <a:ln>
            <a:solidFill>
              <a:schemeClr val="tx2">
                <a:lumMod val="75000"/>
              </a:schemeClr>
            </a:solid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solidFill>
              <a:schemeClr val="tx2">
                <a:lumMod val="75000"/>
              </a:schemeClr>
            </a:solid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solidFill>
              <a:schemeClr val="tx2">
                <a:lumMod val="75000"/>
              </a:schemeClr>
            </a:solid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c:f>
              <c:strCache>
                <c:ptCount val="1"/>
                <c:pt idx="0">
                  <c:v>Total</c:v>
                </c:pt>
              </c:strCache>
            </c:strRef>
          </c:tx>
          <c:spPr>
            <a:solidFill>
              <a:srgbClr val="00B0F0"/>
            </a:solidFill>
            <a:ln>
              <a:solidFill>
                <a:schemeClr val="tx2">
                  <a:lumMod val="75000"/>
                </a:schemeClr>
              </a:solid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Sheet1!$D$3:$D$6</c:f>
              <c:strCache>
                <c:ptCount val="3"/>
                <c:pt idx="0">
                  <c:v>East</c:v>
                </c:pt>
                <c:pt idx="1">
                  <c:v>North</c:v>
                </c:pt>
                <c:pt idx="2">
                  <c:v>West</c:v>
                </c:pt>
              </c:strCache>
            </c:strRef>
          </c:cat>
          <c:val>
            <c:numRef>
              <c:f>Sheet1!$E$3:$E$6</c:f>
              <c:numCache>
                <c:formatCode>General</c:formatCode>
                <c:ptCount val="3"/>
                <c:pt idx="0">
                  <c:v>15</c:v>
                </c:pt>
                <c:pt idx="1">
                  <c:v>4</c:v>
                </c:pt>
                <c:pt idx="2">
                  <c:v>16</c:v>
                </c:pt>
              </c:numCache>
            </c:numRef>
          </c:val>
          <c:extLst>
            <c:ext xmlns:c16="http://schemas.microsoft.com/office/drawing/2014/chart" uri="{C3380CC4-5D6E-409C-BE32-E72D297353CC}">
              <c16:uniqueId val="{00000000-50F8-4327-B3FD-5DF2824941AE}"/>
            </c:ext>
          </c:extLst>
        </c:ser>
        <c:dLbls>
          <c:showLegendKey val="0"/>
          <c:showVal val="0"/>
          <c:showCatName val="0"/>
          <c:showSerName val="0"/>
          <c:showPercent val="0"/>
          <c:showBubbleSize val="0"/>
        </c:dLbls>
        <c:gapWidth val="100"/>
        <c:overlap val="-24"/>
        <c:axId val="1826527632"/>
        <c:axId val="1826526192"/>
      </c:barChart>
      <c:catAx>
        <c:axId val="1826527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826526192"/>
        <c:crosses val="autoZero"/>
        <c:auto val="1"/>
        <c:lblAlgn val="ctr"/>
        <c:lblOffset val="100"/>
        <c:noMultiLvlLbl val="0"/>
      </c:catAx>
      <c:valAx>
        <c:axId val="1826526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500" b="0" i="0" u="none" strike="noStrike" kern="1200" baseline="0">
                <a:solidFill>
                  <a:schemeClr val="lt1">
                    <a:lumMod val="85000"/>
                  </a:schemeClr>
                </a:solidFill>
                <a:latin typeface="+mn-lt"/>
                <a:ea typeface="+mn-ea"/>
                <a:cs typeface="+mn-cs"/>
              </a:defRPr>
            </a:pPr>
            <a:endParaRPr lang="en-US"/>
          </a:p>
        </c:txPr>
        <c:crossAx val="182652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32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[Hr_Analytics_dashboard.xlsx]Sheet1!PivotTable4</c:name>
    <c:fmtId val="9"/>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baseline="0"/>
              <a:t>Total Employees by floor</a:t>
            </a:r>
          </a:p>
          <a:p>
            <a:pPr>
              <a:defRPr sz="2000" baseline="0"/>
            </a:pPr>
            <a:endParaRPr lang="en-US" sz="2000" baseline="0"/>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4"/>
        <c:spPr>
          <a:solidFill>
            <a:schemeClr val="tx2">
              <a:lumMod val="75000"/>
            </a:schemeClr>
          </a:soli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8"/>
        <c:spPr>
          <a:solidFill>
            <a:schemeClr val="accent6"/>
          </a:soli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9"/>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s>
    <c:plotArea>
      <c:layout/>
      <c:pieChart>
        <c:varyColors val="1"/>
        <c:ser>
          <c:idx val="0"/>
          <c:order val="0"/>
          <c:tx>
            <c:strRef>
              <c:f>Sheet1!$M$2</c:f>
              <c:strCache>
                <c:ptCount val="1"/>
                <c:pt idx="0">
                  <c:v>Total</c:v>
                </c:pt>
              </c:strCache>
            </c:strRef>
          </c:tx>
          <c:dPt>
            <c:idx val="0"/>
            <c:bubble3D val="0"/>
            <c:explosion val="2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1-DF69-4FF6-B7E1-C69C30371DEE}"/>
              </c:ext>
            </c:extLst>
          </c:dPt>
          <c:dPt>
            <c:idx val="1"/>
            <c:bubble3D val="0"/>
            <c:explosion val="22"/>
            <c:spPr>
              <a:solidFill>
                <a:schemeClr val="accent6"/>
              </a:soli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3-DF69-4FF6-B7E1-C69C30371DEE}"/>
              </c:ext>
            </c:extLst>
          </c:dPt>
          <c:dPt>
            <c:idx val="2"/>
            <c:bubble3D val="0"/>
            <c:explosion val="14"/>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5-DF69-4FF6-B7E1-C69C30371DEE}"/>
              </c:ext>
            </c:extLst>
          </c:dPt>
          <c:dLbls>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Sheet1!$L$3:$L$6</c:f>
              <c:strCache>
                <c:ptCount val="3"/>
                <c:pt idx="0">
                  <c:v>01</c:v>
                </c:pt>
                <c:pt idx="1">
                  <c:v>02</c:v>
                </c:pt>
                <c:pt idx="2">
                  <c:v>03</c:v>
                </c:pt>
              </c:strCache>
            </c:strRef>
          </c:cat>
          <c:val>
            <c:numRef>
              <c:f>Sheet1!$M$3:$M$6</c:f>
              <c:numCache>
                <c:formatCode>General</c:formatCode>
                <c:ptCount val="3"/>
                <c:pt idx="0">
                  <c:v>5</c:v>
                </c:pt>
                <c:pt idx="1">
                  <c:v>20</c:v>
                </c:pt>
                <c:pt idx="2">
                  <c:v>10</c:v>
                </c:pt>
              </c:numCache>
            </c:numRef>
          </c:val>
          <c:extLst>
            <c:ext xmlns:c16="http://schemas.microsoft.com/office/drawing/2014/chart" uri="{C3380CC4-5D6E-409C-BE32-E72D297353CC}">
              <c16:uniqueId val="{00000006-DF69-4FF6-B7E1-C69C30371DE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5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a:noFill/>
    </a:ln>
    <a:effectLst/>
  </c:spPr>
  <c:txPr>
    <a:bodyPr/>
    <a:lstStyle/>
    <a:p>
      <a:pPr>
        <a:defRPr sz="12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[Hr_Analytics_dashboard.xlsx]Sheet1!PivotTable3</c:name>
    <c:fmtId val="4"/>
  </c:pivotSource>
  <c:chart>
    <c:title>
      <c:tx>
        <c:rich>
          <a:bodyPr rot="0" spcFirstLastPara="1" vertOverflow="ellipsis" vert="horz" wrap="square" anchor="ctr" anchorCtr="1"/>
          <a:lstStyle/>
          <a:p>
            <a:pPr>
              <a:defRPr sz="3000" b="1" i="0" u="none" strike="noStrike" kern="1200" cap="none" baseline="0">
                <a:solidFill>
                  <a:schemeClr val="lt1">
                    <a:lumMod val="85000"/>
                  </a:schemeClr>
                </a:solidFill>
                <a:latin typeface="+mn-lt"/>
                <a:ea typeface="+mn-ea"/>
                <a:cs typeface="+mn-cs"/>
              </a:defRPr>
            </a:pPr>
            <a:r>
              <a:rPr lang="en-IN" sz="3000" baseline="0"/>
              <a:t>Empoyees By Department</a:t>
            </a:r>
          </a:p>
          <a:p>
            <a:pPr>
              <a:defRPr sz="3000" baseline="0"/>
            </a:pPr>
            <a:endParaRPr lang="en-IN" sz="3000" baseline="0"/>
          </a:p>
        </c:rich>
      </c:tx>
      <c:overlay val="0"/>
      <c:spPr>
        <a:noFill/>
        <a:ln>
          <a:noFill/>
        </a:ln>
        <a:effectLst/>
      </c:spPr>
      <c:txPr>
        <a:bodyPr rot="0" spcFirstLastPara="1" vertOverflow="ellipsis" vert="horz" wrap="square" anchor="ctr" anchorCtr="1"/>
        <a:lstStyle/>
        <a:p>
          <a:pPr>
            <a:defRPr sz="30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34925" cap="rnd">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34925" cap="rnd">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anchor="ctr" anchorCtr="1"/>
            <a:lstStyle/>
            <a:p>
              <a:pPr>
                <a:defRPr sz="20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Sheet1!$I$2</c:f>
              <c:strCache>
                <c:ptCount val="1"/>
                <c:pt idx="0">
                  <c:v>Total</c:v>
                </c:pt>
              </c:strCache>
            </c:strRef>
          </c:tx>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cat>
            <c:strRef>
              <c:f>Sheet1!$H$3:$H$10</c:f>
              <c:strCache>
                <c:ptCount val="7"/>
                <c:pt idx="0">
                  <c:v>Accounting</c:v>
                </c:pt>
                <c:pt idx="1">
                  <c:v>Customer Service</c:v>
                </c:pt>
                <c:pt idx="2">
                  <c:v>Executive</c:v>
                </c:pt>
                <c:pt idx="3">
                  <c:v>Facilities</c:v>
                </c:pt>
                <c:pt idx="4">
                  <c:v>Human Resources</c:v>
                </c:pt>
                <c:pt idx="5">
                  <c:v>IT</c:v>
                </c:pt>
                <c:pt idx="6">
                  <c:v>Sales</c:v>
                </c:pt>
              </c:strCache>
            </c:strRef>
          </c:cat>
          <c:val>
            <c:numRef>
              <c:f>Sheet1!$I$3:$I$10</c:f>
              <c:numCache>
                <c:formatCode>General</c:formatCode>
                <c:ptCount val="7"/>
                <c:pt idx="0">
                  <c:v>4</c:v>
                </c:pt>
                <c:pt idx="1">
                  <c:v>5</c:v>
                </c:pt>
                <c:pt idx="2">
                  <c:v>2</c:v>
                </c:pt>
                <c:pt idx="3">
                  <c:v>1</c:v>
                </c:pt>
                <c:pt idx="4">
                  <c:v>3</c:v>
                </c:pt>
                <c:pt idx="5">
                  <c:v>5</c:v>
                </c:pt>
                <c:pt idx="6">
                  <c:v>15</c:v>
                </c:pt>
              </c:numCache>
            </c:numRef>
          </c:val>
          <c:extLst>
            <c:ext xmlns:c16="http://schemas.microsoft.com/office/drawing/2014/chart" uri="{C3380CC4-5D6E-409C-BE32-E72D297353CC}">
              <c16:uniqueId val="{00000000-0278-4926-A943-FF078D8E2544}"/>
            </c:ext>
          </c:extLst>
        </c:ser>
        <c:dLbls>
          <c:showLegendKey val="0"/>
          <c:showVal val="0"/>
          <c:showCatName val="0"/>
          <c:showSerName val="0"/>
          <c:showPercent val="0"/>
          <c:showBubbleSize val="0"/>
        </c:dLbls>
        <c:axId val="1101001328"/>
        <c:axId val="1101002288"/>
      </c:radarChart>
      <c:catAx>
        <c:axId val="1101001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101002288"/>
        <c:crosses val="autoZero"/>
        <c:auto val="1"/>
        <c:lblAlgn val="ctr"/>
        <c:lblOffset val="100"/>
        <c:noMultiLvlLbl val="0"/>
      </c:catAx>
      <c:valAx>
        <c:axId val="1101002288"/>
        <c:scaling>
          <c:orientation val="minMax"/>
        </c:scaling>
        <c:delete val="0"/>
        <c:axPos val="l"/>
        <c:majorGridlines>
          <c:spPr>
            <a:ln w="53975" cap="sq" cmpd="sng" algn="ctr">
              <a:solidFill>
                <a:schemeClr val="lt1">
                  <a:lumMod val="95000"/>
                  <a:alpha val="18000"/>
                </a:schemeClr>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75000"/>
                  </a:schemeClr>
                </a:solidFill>
                <a:latin typeface="+mn-lt"/>
                <a:ea typeface="+mn-ea"/>
                <a:cs typeface="+mn-cs"/>
              </a:defRPr>
            </a:pPr>
            <a:endParaRPr lang="en-US"/>
          </a:p>
        </c:txPr>
        <c:crossAx val="1101001328"/>
        <c:crosses val="autoZero"/>
        <c:crossBetween val="between"/>
      </c:valAx>
      <c:spPr>
        <a:noFill/>
        <a:ln w="53975">
          <a:noFill/>
        </a:ln>
        <a:effectLst/>
      </c:spPr>
    </c:plotArea>
    <c:legend>
      <c:legendPos val="t"/>
      <c:overlay val="0"/>
      <c:spPr>
        <a:noFill/>
        <a:ln>
          <a:noFill/>
        </a:ln>
        <a:effectLst/>
      </c:spPr>
      <c:txPr>
        <a:bodyPr rot="0" spcFirstLastPara="1" vertOverflow="ellipsis" vert="horz" wrap="square" anchor="ctr" anchorCtr="1"/>
        <a:lstStyle/>
        <a:p>
          <a:pPr>
            <a:defRPr sz="35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a:solidFill>
        <a:schemeClr val="tx2">
          <a:lumMod val="75000"/>
        </a:schemeClr>
      </a:solidFill>
    </a:ln>
    <a:effectLst/>
  </c:spPr>
  <c:txPr>
    <a:bodyPr/>
    <a:lstStyle/>
    <a:p>
      <a:pPr>
        <a:defRPr sz="20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chart" Target="../charts/chart6.xml"/><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7</xdr:col>
      <xdr:colOff>1110270</xdr:colOff>
      <xdr:row>6</xdr:row>
      <xdr:rowOff>120799</xdr:rowOff>
    </xdr:to>
    <xdr:pic>
      <xdr:nvPicPr>
        <xdr:cNvPr id="2" name="Picture 1" title="Macquarie University Logo">
          <a:extLst>
            <a:ext uri="{FF2B5EF4-FFF2-40B4-BE49-F238E27FC236}">
              <a16:creationId xmlns:a16="http://schemas.microsoft.com/office/drawing/2014/main" id="{45E04198-DA21-4113-8098-726A7B40EFC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7086"/>
        <a:stretch/>
      </xdr:blipFill>
      <xdr:spPr>
        <a:xfrm>
          <a:off x="0" y="1"/>
          <a:ext cx="4809145" cy="1660673"/>
        </a:xfrm>
        <a:prstGeom prst="rect">
          <a:avLst/>
        </a:prstGeom>
      </xdr:spPr>
    </xdr:pic>
    <xdr:clientData/>
  </xdr:twoCellAnchor>
  <xdr:twoCellAnchor editAs="oneCell">
    <xdr:from>
      <xdr:col>1</xdr:col>
      <xdr:colOff>0</xdr:colOff>
      <xdr:row>27</xdr:row>
      <xdr:rowOff>123030</xdr:rowOff>
    </xdr:from>
    <xdr:to>
      <xdr:col>14</xdr:col>
      <xdr:colOff>1384694</xdr:colOff>
      <xdr:row>57</xdr:row>
      <xdr:rowOff>2324</xdr:rowOff>
    </xdr:to>
    <xdr:pic>
      <xdr:nvPicPr>
        <xdr:cNvPr id="4" name="Picture 3">
          <a:extLst>
            <a:ext uri="{FF2B5EF4-FFF2-40B4-BE49-F238E27FC236}">
              <a16:creationId xmlns:a16="http://schemas.microsoft.com/office/drawing/2014/main" id="{78D7111B-A1BF-4904-995F-9573113F0D5E}"/>
            </a:ext>
          </a:extLst>
        </xdr:cNvPr>
        <xdr:cNvPicPr>
          <a:picLocks noChangeAspect="1"/>
        </xdr:cNvPicPr>
      </xdr:nvPicPr>
      <xdr:blipFill>
        <a:blip xmlns:r="http://schemas.openxmlformats.org/officeDocument/2006/relationships" r:embed="rId2"/>
        <a:stretch>
          <a:fillRect/>
        </a:stretch>
      </xdr:blipFill>
      <xdr:spPr>
        <a:xfrm>
          <a:off x="381000" y="5044280"/>
          <a:ext cx="10111976" cy="53561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160020</xdr:colOff>
      <xdr:row>14</xdr:row>
      <xdr:rowOff>106680</xdr:rowOff>
    </xdr:from>
    <xdr:to>
      <xdr:col>6</xdr:col>
      <xdr:colOff>121920</xdr:colOff>
      <xdr:row>29</xdr:row>
      <xdr:rowOff>106680</xdr:rowOff>
    </xdr:to>
    <xdr:graphicFrame macro="">
      <xdr:nvGraphicFramePr>
        <xdr:cNvPr id="2" name="Chart 1">
          <a:extLst>
            <a:ext uri="{FF2B5EF4-FFF2-40B4-BE49-F238E27FC236}">
              <a16:creationId xmlns:a16="http://schemas.microsoft.com/office/drawing/2014/main" id="{B61060EB-1037-B6CF-D238-B70F3ECE2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274320</xdr:colOff>
      <xdr:row>14</xdr:row>
      <xdr:rowOff>160020</xdr:rowOff>
    </xdr:from>
    <xdr:to>
      <xdr:col>12</xdr:col>
      <xdr:colOff>175260</xdr:colOff>
      <xdr:row>29</xdr:row>
      <xdr:rowOff>160020</xdr:rowOff>
    </xdr:to>
    <xdr:graphicFrame macro="">
      <xdr:nvGraphicFramePr>
        <xdr:cNvPr id="3" name="Chart 2">
          <a:extLst>
            <a:ext uri="{FF2B5EF4-FFF2-40B4-BE49-F238E27FC236}">
              <a16:creationId xmlns:a16="http://schemas.microsoft.com/office/drawing/2014/main" id="{0FA29963-04F7-9D0D-F24A-5243473A00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243840</xdr:colOff>
      <xdr:row>14</xdr:row>
      <xdr:rowOff>144780</xdr:rowOff>
    </xdr:from>
    <xdr:to>
      <xdr:col>19</xdr:col>
      <xdr:colOff>137160</xdr:colOff>
      <xdr:row>29</xdr:row>
      <xdr:rowOff>144780</xdr:rowOff>
    </xdr:to>
    <xdr:graphicFrame macro="">
      <xdr:nvGraphicFramePr>
        <xdr:cNvPr id="4" name="Chart 3">
          <a:extLst>
            <a:ext uri="{FF2B5EF4-FFF2-40B4-BE49-F238E27FC236}">
              <a16:creationId xmlns:a16="http://schemas.microsoft.com/office/drawing/2014/main" id="{210894CE-49FB-935C-11C8-21178E323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xdr:colOff>
      <xdr:row>0</xdr:row>
      <xdr:rowOff>22860</xdr:rowOff>
    </xdr:from>
    <xdr:to>
      <xdr:col>55</xdr:col>
      <xdr:colOff>186906</xdr:colOff>
      <xdr:row>58</xdr:row>
      <xdr:rowOff>143774</xdr:rowOff>
    </xdr:to>
    <xdr:sp macro="" textlink="">
      <xdr:nvSpPr>
        <xdr:cNvPr id="2" name="Rectangle 1">
          <a:extLst>
            <a:ext uri="{FF2B5EF4-FFF2-40B4-BE49-F238E27FC236}">
              <a16:creationId xmlns:a16="http://schemas.microsoft.com/office/drawing/2014/main" id="{8402A7BB-6D19-3615-3FDF-E3254E7289F7}"/>
            </a:ext>
          </a:extLst>
        </xdr:cNvPr>
        <xdr:cNvSpPr/>
      </xdr:nvSpPr>
      <xdr:spPr>
        <a:xfrm>
          <a:off x="30480" y="22860"/>
          <a:ext cx="33368124" cy="10961442"/>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273170</xdr:colOff>
      <xdr:row>1</xdr:row>
      <xdr:rowOff>14377</xdr:rowOff>
    </xdr:from>
    <xdr:to>
      <xdr:col>43</xdr:col>
      <xdr:colOff>0</xdr:colOff>
      <xdr:row>7</xdr:row>
      <xdr:rowOff>143773</xdr:rowOff>
    </xdr:to>
    <xdr:sp macro="" textlink="">
      <xdr:nvSpPr>
        <xdr:cNvPr id="3" name="Rectangle: Rounded Corners 2">
          <a:extLst>
            <a:ext uri="{FF2B5EF4-FFF2-40B4-BE49-F238E27FC236}">
              <a16:creationId xmlns:a16="http://schemas.microsoft.com/office/drawing/2014/main" id="{3334F5BC-3FB3-3E84-AAFD-56686C89D7EF}"/>
            </a:ext>
          </a:extLst>
        </xdr:cNvPr>
        <xdr:cNvSpPr/>
      </xdr:nvSpPr>
      <xdr:spPr>
        <a:xfrm>
          <a:off x="273170" y="201283"/>
          <a:ext cx="25692339" cy="125083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1">
              <a:latin typeface="Algerian" panose="04020705040A02060702" pitchFamily="82" charset="0"/>
            </a:rPr>
            <a:t>HR ANALYTICS DASHBOARD</a:t>
          </a:r>
        </a:p>
      </xdr:txBody>
    </xdr:sp>
    <xdr:clientData/>
  </xdr:twoCellAnchor>
  <xdr:twoCellAnchor>
    <xdr:from>
      <xdr:col>0</xdr:col>
      <xdr:colOff>172528</xdr:colOff>
      <xdr:row>8</xdr:row>
      <xdr:rowOff>158152</xdr:rowOff>
    </xdr:from>
    <xdr:to>
      <xdr:col>20</xdr:col>
      <xdr:colOff>488830</xdr:colOff>
      <xdr:row>31</xdr:row>
      <xdr:rowOff>28755</xdr:rowOff>
    </xdr:to>
    <xdr:sp macro="" textlink="">
      <xdr:nvSpPr>
        <xdr:cNvPr id="4" name="Rectangle: Rounded Corners 3">
          <a:extLst>
            <a:ext uri="{FF2B5EF4-FFF2-40B4-BE49-F238E27FC236}">
              <a16:creationId xmlns:a16="http://schemas.microsoft.com/office/drawing/2014/main" id="{401D9911-9308-16AD-AA24-D7ECCE0FCA12}"/>
            </a:ext>
          </a:extLst>
        </xdr:cNvPr>
        <xdr:cNvSpPr/>
      </xdr:nvSpPr>
      <xdr:spPr>
        <a:xfrm>
          <a:off x="172528" y="1653397"/>
          <a:ext cx="12393283" cy="4169433"/>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230037</xdr:colOff>
      <xdr:row>32</xdr:row>
      <xdr:rowOff>43132</xdr:rowOff>
    </xdr:from>
    <xdr:to>
      <xdr:col>20</xdr:col>
      <xdr:colOff>431321</xdr:colOff>
      <xdr:row>54</xdr:row>
      <xdr:rowOff>57509</xdr:rowOff>
    </xdr:to>
    <xdr:sp macro="" textlink="">
      <xdr:nvSpPr>
        <xdr:cNvPr id="5" name="Rectangle: Rounded Corners 4">
          <a:extLst>
            <a:ext uri="{FF2B5EF4-FFF2-40B4-BE49-F238E27FC236}">
              <a16:creationId xmlns:a16="http://schemas.microsoft.com/office/drawing/2014/main" id="{BCF791B9-B300-0F20-384F-DB42D25323A7}"/>
            </a:ext>
          </a:extLst>
        </xdr:cNvPr>
        <xdr:cNvSpPr/>
      </xdr:nvSpPr>
      <xdr:spPr>
        <a:xfrm>
          <a:off x="230037" y="6024113"/>
          <a:ext cx="12278265" cy="4126302"/>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86265</xdr:colOff>
      <xdr:row>8</xdr:row>
      <xdr:rowOff>172527</xdr:rowOff>
    </xdr:from>
    <xdr:to>
      <xdr:col>30</xdr:col>
      <xdr:colOff>301925</xdr:colOff>
      <xdr:row>54</xdr:row>
      <xdr:rowOff>71885</xdr:rowOff>
    </xdr:to>
    <xdr:sp macro="" textlink="">
      <xdr:nvSpPr>
        <xdr:cNvPr id="6" name="Rectangle 5">
          <a:extLst>
            <a:ext uri="{FF2B5EF4-FFF2-40B4-BE49-F238E27FC236}">
              <a16:creationId xmlns:a16="http://schemas.microsoft.com/office/drawing/2014/main" id="{D2F1F55D-58A8-7DFB-20F7-89FD6B5B55F7}"/>
            </a:ext>
          </a:extLst>
        </xdr:cNvPr>
        <xdr:cNvSpPr/>
      </xdr:nvSpPr>
      <xdr:spPr>
        <a:xfrm>
          <a:off x="12767095" y="1667772"/>
          <a:ext cx="5650302" cy="8497019"/>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416943</xdr:colOff>
      <xdr:row>8</xdr:row>
      <xdr:rowOff>100642</xdr:rowOff>
    </xdr:from>
    <xdr:to>
      <xdr:col>42</xdr:col>
      <xdr:colOff>330680</xdr:colOff>
      <xdr:row>17</xdr:row>
      <xdr:rowOff>172528</xdr:rowOff>
    </xdr:to>
    <xdr:sp macro="" textlink="">
      <xdr:nvSpPr>
        <xdr:cNvPr id="7" name="Rectangle: Rounded Corners 6">
          <a:extLst>
            <a:ext uri="{FF2B5EF4-FFF2-40B4-BE49-F238E27FC236}">
              <a16:creationId xmlns:a16="http://schemas.microsoft.com/office/drawing/2014/main" id="{DC383102-D085-16BE-F721-F4A779FC11D6}"/>
            </a:ext>
          </a:extLst>
        </xdr:cNvPr>
        <xdr:cNvSpPr/>
      </xdr:nvSpPr>
      <xdr:spPr>
        <a:xfrm>
          <a:off x="19136264" y="1595887"/>
          <a:ext cx="6556076" cy="1754037"/>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4000" b="1">
              <a:latin typeface="Algerian" panose="04020705040A02060702" pitchFamily="82" charset="0"/>
            </a:rPr>
            <a:t>Total Employees</a:t>
          </a:r>
        </a:p>
      </xdr:txBody>
    </xdr:sp>
    <xdr:clientData/>
  </xdr:twoCellAnchor>
  <xdr:twoCellAnchor>
    <xdr:from>
      <xdr:col>30</xdr:col>
      <xdr:colOff>416944</xdr:colOff>
      <xdr:row>19</xdr:row>
      <xdr:rowOff>14377</xdr:rowOff>
    </xdr:from>
    <xdr:to>
      <xdr:col>43</xdr:col>
      <xdr:colOff>57510</xdr:colOff>
      <xdr:row>55</xdr:row>
      <xdr:rowOff>28755</xdr:rowOff>
    </xdr:to>
    <xdr:sp macro="" textlink="">
      <xdr:nvSpPr>
        <xdr:cNvPr id="8" name="Rectangle: Rounded Corners 7">
          <a:extLst>
            <a:ext uri="{FF2B5EF4-FFF2-40B4-BE49-F238E27FC236}">
              <a16:creationId xmlns:a16="http://schemas.microsoft.com/office/drawing/2014/main" id="{6DA4096D-403F-391A-3645-FC0CEA1831B2}"/>
            </a:ext>
          </a:extLst>
        </xdr:cNvPr>
        <xdr:cNvSpPr/>
      </xdr:nvSpPr>
      <xdr:spPr>
        <a:xfrm>
          <a:off x="18532416" y="3565585"/>
          <a:ext cx="7490603" cy="6742981"/>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39</xdr:col>
      <xdr:colOff>388189</xdr:colOff>
      <xdr:row>11</xdr:row>
      <xdr:rowOff>1</xdr:rowOff>
    </xdr:from>
    <xdr:to>
      <xdr:col>41</xdr:col>
      <xdr:colOff>94891</xdr:colOff>
      <xdr:row>15</xdr:row>
      <xdr:rowOff>166778</xdr:rowOff>
    </xdr:to>
    <xdr:pic>
      <xdr:nvPicPr>
        <xdr:cNvPr id="10" name="Graphic 9" descr="User with solid fill">
          <a:extLst>
            <a:ext uri="{FF2B5EF4-FFF2-40B4-BE49-F238E27FC236}">
              <a16:creationId xmlns:a16="http://schemas.microsoft.com/office/drawing/2014/main" id="{CBD99BA6-6F60-C6DD-C0B3-9FC2C7BBC2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938302" y="2055963"/>
          <a:ext cx="914400" cy="914400"/>
        </a:xfrm>
        <a:prstGeom prst="rect">
          <a:avLst/>
        </a:prstGeom>
      </xdr:spPr>
    </xdr:pic>
    <xdr:clientData/>
  </xdr:twoCellAnchor>
  <xdr:twoCellAnchor editAs="oneCell">
    <xdr:from>
      <xdr:col>13</xdr:col>
      <xdr:colOff>589471</xdr:colOff>
      <xdr:row>2</xdr:row>
      <xdr:rowOff>14378</xdr:rowOff>
    </xdr:from>
    <xdr:to>
      <xdr:col>15</xdr:col>
      <xdr:colOff>296173</xdr:colOff>
      <xdr:row>6</xdr:row>
      <xdr:rowOff>181155</xdr:rowOff>
    </xdr:to>
    <xdr:pic>
      <xdr:nvPicPr>
        <xdr:cNvPr id="12" name="Graphic 11" descr="Customer review with solid fill">
          <a:extLst>
            <a:ext uri="{FF2B5EF4-FFF2-40B4-BE49-F238E27FC236}">
              <a16:creationId xmlns:a16="http://schemas.microsoft.com/office/drawing/2014/main" id="{946403C3-FFC9-617C-1ACC-BE2AA7D7614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439509" y="388189"/>
          <a:ext cx="914400" cy="914400"/>
        </a:xfrm>
        <a:prstGeom prst="rect">
          <a:avLst/>
        </a:prstGeom>
      </xdr:spPr>
    </xdr:pic>
    <xdr:clientData/>
  </xdr:twoCellAnchor>
  <xdr:twoCellAnchor>
    <xdr:from>
      <xdr:col>1</xdr:col>
      <xdr:colOff>57509</xdr:colOff>
      <xdr:row>10</xdr:row>
      <xdr:rowOff>71887</xdr:rowOff>
    </xdr:from>
    <xdr:to>
      <xdr:col>20</xdr:col>
      <xdr:colOff>86264</xdr:colOff>
      <xdr:row>29</xdr:row>
      <xdr:rowOff>143773</xdr:rowOff>
    </xdr:to>
    <xdr:graphicFrame macro="">
      <xdr:nvGraphicFramePr>
        <xdr:cNvPr id="14" name="Chart 13">
          <a:extLst>
            <a:ext uri="{FF2B5EF4-FFF2-40B4-BE49-F238E27FC236}">
              <a16:creationId xmlns:a16="http://schemas.microsoft.com/office/drawing/2014/main" id="{FD42FF0B-6FB1-4F96-A9D4-944D534CC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402566</xdr:colOff>
      <xdr:row>33</xdr:row>
      <xdr:rowOff>71887</xdr:rowOff>
    </xdr:from>
    <xdr:to>
      <xdr:col>20</xdr:col>
      <xdr:colOff>186906</xdr:colOff>
      <xdr:row>52</xdr:row>
      <xdr:rowOff>43132</xdr:rowOff>
    </xdr:to>
    <xdr:graphicFrame macro="">
      <xdr:nvGraphicFramePr>
        <xdr:cNvPr id="16" name="Chart 15">
          <a:extLst>
            <a:ext uri="{FF2B5EF4-FFF2-40B4-BE49-F238E27FC236}">
              <a16:creationId xmlns:a16="http://schemas.microsoft.com/office/drawing/2014/main" id="{DBEB9D06-1DD6-47C7-970B-7D010AD72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273171</xdr:colOff>
      <xdr:row>10</xdr:row>
      <xdr:rowOff>86263</xdr:rowOff>
    </xdr:from>
    <xdr:to>
      <xdr:col>30</xdr:col>
      <xdr:colOff>143773</xdr:colOff>
      <xdr:row>53</xdr:row>
      <xdr:rowOff>172527</xdr:rowOff>
    </xdr:to>
    <xdr:graphicFrame macro="">
      <xdr:nvGraphicFramePr>
        <xdr:cNvPr id="17" name="Chart 16">
          <a:extLst>
            <a:ext uri="{FF2B5EF4-FFF2-40B4-BE49-F238E27FC236}">
              <a16:creationId xmlns:a16="http://schemas.microsoft.com/office/drawing/2014/main" id="{1E842D7B-050D-4830-AAC5-067CAADF4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31</xdr:col>
      <xdr:colOff>345056</xdr:colOff>
      <xdr:row>22</xdr:row>
      <xdr:rowOff>10782</xdr:rowOff>
    </xdr:from>
    <xdr:to>
      <xdr:col>42</xdr:col>
      <xdr:colOff>66167</xdr:colOff>
      <xdr:row>32</xdr:row>
      <xdr:rowOff>157726</xdr:rowOff>
    </xdr:to>
    <mc:AlternateContent xmlns:mc="http://schemas.openxmlformats.org/markup-compatibility/2006">
      <mc:Choice xmlns:a14="http://schemas.microsoft.com/office/drawing/2010/main" Requires="a14">
        <xdr:graphicFrame macro="">
          <xdr:nvGraphicFramePr>
            <xdr:cNvPr id="19" name="Wing">
              <a:extLst>
                <a:ext uri="{FF2B5EF4-FFF2-40B4-BE49-F238E27FC236}">
                  <a16:creationId xmlns:a16="http://schemas.microsoft.com/office/drawing/2014/main" id="{7B95C397-4B17-2493-1E1D-66A5C5F82159}"/>
                </a:ext>
              </a:extLst>
            </xdr:cNvPr>
            <xdr:cNvGraphicFramePr/>
          </xdr:nvGraphicFramePr>
          <xdr:xfrm>
            <a:off x="0" y="0"/>
            <a:ext cx="0" cy="0"/>
          </xdr:xfrm>
          <a:graphic>
            <a:graphicData uri="http://schemas.microsoft.com/office/drawing/2010/slicer">
              <sle:slicer xmlns:sle="http://schemas.microsoft.com/office/drawing/2010/slicer" name="Wing"/>
            </a:graphicData>
          </a:graphic>
        </xdr:graphicFrame>
      </mc:Choice>
      <mc:Fallback>
        <xdr:sp macro="" textlink="">
          <xdr:nvSpPr>
            <xdr:cNvPr id="0" name=""/>
            <xdr:cNvSpPr>
              <a:spLocks noTextEdit="1"/>
            </xdr:cNvSpPr>
          </xdr:nvSpPr>
          <xdr:spPr>
            <a:xfrm>
              <a:off x="19064377" y="4122707"/>
              <a:ext cx="6363450" cy="20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505072</xdr:colOff>
      <xdr:row>33</xdr:row>
      <xdr:rowOff>115017</xdr:rowOff>
    </xdr:from>
    <xdr:to>
      <xdr:col>35</xdr:col>
      <xdr:colOff>603847</xdr:colOff>
      <xdr:row>49</xdr:row>
      <xdr:rowOff>57510</xdr:rowOff>
    </xdr:to>
    <mc:AlternateContent xmlns:mc="http://schemas.openxmlformats.org/markup-compatibility/2006">
      <mc:Choice xmlns:a14="http://schemas.microsoft.com/office/drawing/2010/main" Requires="a14">
        <xdr:graphicFrame macro="">
          <xdr:nvGraphicFramePr>
            <xdr:cNvPr id="20" name="Floor No.">
              <a:extLst>
                <a:ext uri="{FF2B5EF4-FFF2-40B4-BE49-F238E27FC236}">
                  <a16:creationId xmlns:a16="http://schemas.microsoft.com/office/drawing/2014/main" id="{4BF50B7C-2D01-2BFF-CD50-F59E4846611F}"/>
                </a:ext>
              </a:extLst>
            </xdr:cNvPr>
            <xdr:cNvGraphicFramePr/>
          </xdr:nvGraphicFramePr>
          <xdr:xfrm>
            <a:off x="0" y="0"/>
            <a:ext cx="0" cy="0"/>
          </xdr:xfrm>
          <a:graphic>
            <a:graphicData uri="http://schemas.microsoft.com/office/drawing/2010/slicer">
              <sle:slicer xmlns:sle="http://schemas.microsoft.com/office/drawing/2010/slicer" name="Floor No."/>
            </a:graphicData>
          </a:graphic>
        </xdr:graphicFrame>
      </mc:Choice>
      <mc:Fallback>
        <xdr:sp macro="" textlink="">
          <xdr:nvSpPr>
            <xdr:cNvPr id="0" name=""/>
            <xdr:cNvSpPr>
              <a:spLocks noTextEdit="1"/>
            </xdr:cNvSpPr>
          </xdr:nvSpPr>
          <xdr:spPr>
            <a:xfrm>
              <a:off x="19224393" y="6282904"/>
              <a:ext cx="2514171" cy="2932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215660</xdr:colOff>
      <xdr:row>33</xdr:row>
      <xdr:rowOff>53913</xdr:rowOff>
    </xdr:from>
    <xdr:to>
      <xdr:col>42</xdr:col>
      <xdr:colOff>336566</xdr:colOff>
      <xdr:row>49</xdr:row>
      <xdr:rowOff>159423</xdr:rowOff>
    </xdr:to>
    <mc:AlternateContent xmlns:mc="http://schemas.openxmlformats.org/markup-compatibility/2006">
      <mc:Choice xmlns:a14="http://schemas.microsoft.com/office/drawing/2010/main" Requires="a14">
        <xdr:graphicFrame macro="">
          <xdr:nvGraphicFramePr>
            <xdr:cNvPr id="21" name="Department">
              <a:extLst>
                <a:ext uri="{FF2B5EF4-FFF2-40B4-BE49-F238E27FC236}">
                  <a16:creationId xmlns:a16="http://schemas.microsoft.com/office/drawing/2014/main" id="{E8975B2A-9DAE-DB88-C960-665BD393BC7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1954226" y="6221800"/>
              <a:ext cx="3744000" cy="30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45</xdr:col>
      <xdr:colOff>115018</xdr:colOff>
      <xdr:row>9</xdr:row>
      <xdr:rowOff>0</xdr:rowOff>
    </xdr:from>
    <xdr:to>
      <xdr:col>51</xdr:col>
      <xdr:colOff>186905</xdr:colOff>
      <xdr:row>17</xdr:row>
      <xdr:rowOff>143774</xdr:rowOff>
    </xdr:to>
    <xdr:sp macro="[0]!ResetFilter" textlink="">
      <xdr:nvSpPr>
        <xdr:cNvPr id="22" name="Rectangle 21">
          <a:extLst>
            <a:ext uri="{FF2B5EF4-FFF2-40B4-BE49-F238E27FC236}">
              <a16:creationId xmlns:a16="http://schemas.microsoft.com/office/drawing/2014/main" id="{862012CC-D6B6-CA03-E297-CAC1DDDFB589}"/>
            </a:ext>
          </a:extLst>
        </xdr:cNvPr>
        <xdr:cNvSpPr/>
      </xdr:nvSpPr>
      <xdr:spPr>
        <a:xfrm>
          <a:off x="27288226" y="1682151"/>
          <a:ext cx="3694981" cy="1639019"/>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latin typeface="Algerian" panose="04020705040A02060702" pitchFamily="82" charset="0"/>
            </a:rPr>
            <a:t>ResetFilter</a:t>
          </a:r>
        </a:p>
      </xdr:txBody>
    </xdr:sp>
    <xdr:clientData/>
  </xdr:twoCellAnchor>
  <xdr:twoCellAnchor>
    <xdr:from>
      <xdr:col>45</xdr:col>
      <xdr:colOff>166776</xdr:colOff>
      <xdr:row>20</xdr:row>
      <xdr:rowOff>23004</xdr:rowOff>
    </xdr:from>
    <xdr:to>
      <xdr:col>51</xdr:col>
      <xdr:colOff>238663</xdr:colOff>
      <xdr:row>28</xdr:row>
      <xdr:rowOff>166778</xdr:rowOff>
    </xdr:to>
    <xdr:sp macro="[0]!SaveAsPdf" textlink="">
      <xdr:nvSpPr>
        <xdr:cNvPr id="26" name="Rectangle 25">
          <a:extLst>
            <a:ext uri="{FF2B5EF4-FFF2-40B4-BE49-F238E27FC236}">
              <a16:creationId xmlns:a16="http://schemas.microsoft.com/office/drawing/2014/main" id="{10BE5AAD-7F65-45F5-98C9-825FD72F4B30}"/>
            </a:ext>
          </a:extLst>
        </xdr:cNvPr>
        <xdr:cNvSpPr/>
      </xdr:nvSpPr>
      <xdr:spPr>
        <a:xfrm>
          <a:off x="27339984" y="3761117"/>
          <a:ext cx="3694981" cy="1639019"/>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latin typeface="Algerian" panose="04020705040A02060702" pitchFamily="82" charset="0"/>
            </a:rPr>
            <a:t>SaveAsPdf</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esh Sangem" refreshedDate="46063.70735138889" backgroundQuery="1" createdVersion="8" refreshedVersion="8" minRefreshableVersion="3" recordCount="0" supportSubquery="1" supportAdvancedDrill="1" xr:uid="{ED1C3278-0D1F-4DF4-899D-68369BE47AD2}">
  <cacheSource type="external" connectionId="1"/>
  <cacheFields count="2">
    <cacheField name="[Range].[Floor No.].[Floor No.]" caption="Floor No." numFmtId="0" hierarchy="10" level="1">
      <sharedItems count="3">
        <s v="01"/>
        <s v="02"/>
        <s v="03"/>
      </sharedItems>
    </cacheField>
    <cacheField name="[Measures].[Count of Emp ID]" caption="Count of Emp ID" numFmtId="0" hierarchy="15" level="32767"/>
  </cacheFields>
  <cacheHierarchies count="17">
    <cacheHierarchy uniqueName="[Range].[Emp No.]" caption="Emp No." attribute="1" defaultMemberUniqueName="[Range].[Emp No.].[All]" allUniqueName="[Range].[Emp No.].[All]" dimensionUniqueName="[Range]" displayFolder="" count="2" memberValueDatatype="20" unbalanced="0"/>
    <cacheHierarchy uniqueName="[Range].[Full/Part Time]" caption="Full/Part Time" attribute="1" defaultMemberUniqueName="[Range].[Full/Part Time].[All]" allUniqueName="[Range].[Full/Part Time].[All]" dimensionUniqueName="[Range]" displayFolder="" count="2" memberValueDatatype="130" unbalanced="0"/>
    <cacheHierarchy uniqueName="[Range].[Emp ID]" caption="Emp ID" attribute="1" defaultMemberUniqueName="[Range].[Emp ID].[All]" allUniqueName="[Range].[Emp ID].[All]" dimensionUniqueName="[Range]" displayFolder="" count="2" memberValueDatatype="130" unbalanced="0"/>
    <cacheHierarchy uniqueName="[Range].[Last Name]" caption="Last Name" attribute="1" defaultMemberUniqueName="[Range].[Last Name].[All]" allUniqueName="[Range].[Last Name].[All]" dimensionUniqueName="[Range]" displayFolder="" count="2" memberValueDatatype="130" unbalanced="0"/>
    <cacheHierarchy uniqueName="[Range].[First Name]" caption="First Name" attribute="1" defaultMemberUniqueName="[Range].[First Name].[All]" allUniqueName="[Range].[First Name].[All]" dimensionUniqueName="[Range]" displayFolder="" count="2" memberValueDatatype="130" unbalanced="0"/>
    <cacheHierarchy uniqueName="[Range].[Full Name]" caption="Full Name" attribute="1" defaultMemberUniqueName="[Range].[Full Name].[All]" allUniqueName="[Range].[Full Name].[All]" dimensionUniqueName="[Range]" displayFolder="" count="2" memberValueDatatype="130" unbalanced="0"/>
    <cacheHierarchy uniqueName="[Range].[Email]" caption="Email" attribute="1" defaultMemberUniqueName="[Range].[Email].[All]" allUniqueName="[Range].[Email].[All]" dimensionUniqueName="[Range]" displayFolder="" count="2" memberValueDatatype="130" unbalanced="0"/>
    <cacheHierarchy uniqueName="[Range].[Date of Hire]" caption="Date of Hire" attribute="1" time="1" defaultMemberUniqueName="[Range].[Date of Hire].[All]" allUniqueName="[Range].[Date of Hire].[All]" dimensionUniqueName="[Range]" displayFolder="" count="2" memberValueDatatype="7" unbalanced="0"/>
    <cacheHierarchy uniqueName="[Range].[Department]" caption="Department" attribute="1" defaultMemberUniqueName="[Range].[Department].[All]" allUniqueName="[Range].[Department].[All]" dimensionUniqueName="[Range]" displayFolder="" count="2"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Floor No.]" caption="Floor No." attribute="1" defaultMemberUniqueName="[Range].[Floor No.].[All]" allUniqueName="[Range].[Floor No.].[All]" dimensionUniqueName="[Range]" displayFolder="" count="2" memberValueDatatype="130" unbalanced="0">
      <fieldsUsage count="2">
        <fieldUsage x="-1"/>
        <fieldUsage x="0"/>
      </fieldsUsage>
    </cacheHierarchy>
    <cacheHierarchy uniqueName="[Range].[Wing]" caption="Wing" attribute="1" defaultMemberUniqueName="[Range].[Wing].[All]" allUniqueName="[Range].[Wing].[All]" dimensionUniqueName="[Range]" displayFolder="" count="2" memberValueDatatype="130" unbalanced="0"/>
    <cacheHierarchy uniqueName="[Range].[Extension]" caption="Extension" attribute="1" defaultMemberUniqueName="[Range].[Extension].[All]" allUniqueName="[Range].[Extension].[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ID]" caption="Count of Emp ID"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Emp No.]" caption="Sum of Emp No."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esh Sangem" refreshedDate="46063.725167592595" backgroundQuery="1" createdVersion="8" refreshedVersion="8" minRefreshableVersion="3" recordCount="0" supportSubquery="1" supportAdvancedDrill="1" xr:uid="{11234916-DF18-47E6-A603-05C69D794CE9}">
  <cacheSource type="external" connectionId="1"/>
  <cacheFields count="2">
    <cacheField name="[Range].[Wing].[Wing]" caption="Wing" numFmtId="0" hierarchy="11" level="1">
      <sharedItems count="3">
        <s v="East"/>
        <s v="North"/>
        <s v="West"/>
      </sharedItems>
    </cacheField>
    <cacheField name="[Measures].[Count of Emp ID]" caption="Count of Emp ID" numFmtId="0" hierarchy="15" level="32767"/>
  </cacheFields>
  <cacheHierarchies count="17">
    <cacheHierarchy uniqueName="[Range].[Emp No.]" caption="Emp No." attribute="1" defaultMemberUniqueName="[Range].[Emp No.].[All]" allUniqueName="[Range].[Emp No.].[All]" dimensionUniqueName="[Range]" displayFolder="" count="2" memberValueDatatype="20" unbalanced="0"/>
    <cacheHierarchy uniqueName="[Range].[Full/Part Time]" caption="Full/Part Time" attribute="1" defaultMemberUniqueName="[Range].[Full/Part Time].[All]" allUniqueName="[Range].[Full/Part Time].[All]" dimensionUniqueName="[Range]" displayFolder="" count="2" memberValueDatatype="130" unbalanced="0"/>
    <cacheHierarchy uniqueName="[Range].[Emp ID]" caption="Emp ID" attribute="1" defaultMemberUniqueName="[Range].[Emp ID].[All]" allUniqueName="[Range].[Emp ID].[All]" dimensionUniqueName="[Range]" displayFolder="" count="2" memberValueDatatype="130" unbalanced="0"/>
    <cacheHierarchy uniqueName="[Range].[Last Name]" caption="Last Name" attribute="1" defaultMemberUniqueName="[Range].[Last Name].[All]" allUniqueName="[Range].[Last Name].[All]" dimensionUniqueName="[Range]" displayFolder="" count="2" memberValueDatatype="130" unbalanced="0"/>
    <cacheHierarchy uniqueName="[Range].[First Name]" caption="First Name" attribute="1" defaultMemberUniqueName="[Range].[First Name].[All]" allUniqueName="[Range].[First Name].[All]" dimensionUniqueName="[Range]" displayFolder="" count="2" memberValueDatatype="130" unbalanced="0"/>
    <cacheHierarchy uniqueName="[Range].[Full Name]" caption="Full Name" attribute="1" defaultMemberUniqueName="[Range].[Full Name].[All]" allUniqueName="[Range].[Full Name].[All]" dimensionUniqueName="[Range]" displayFolder="" count="2" memberValueDatatype="130" unbalanced="0"/>
    <cacheHierarchy uniqueName="[Range].[Email]" caption="Email" attribute="1" defaultMemberUniqueName="[Range].[Email].[All]" allUniqueName="[Range].[Email].[All]" dimensionUniqueName="[Range]" displayFolder="" count="2" memberValueDatatype="130" unbalanced="0"/>
    <cacheHierarchy uniqueName="[Range].[Date of Hire]" caption="Date of Hire" attribute="1" time="1" defaultMemberUniqueName="[Range].[Date of Hire].[All]" allUniqueName="[Range].[Date of Hire].[All]" dimensionUniqueName="[Range]" displayFolder="" count="2" memberValueDatatype="7" unbalanced="0"/>
    <cacheHierarchy uniqueName="[Range].[Department]" caption="Department" attribute="1" defaultMemberUniqueName="[Range].[Department].[All]" allUniqueName="[Range].[Department].[All]" dimensionUniqueName="[Range]" displayFolder="" count="2"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Floor No.]" caption="Floor No." attribute="1" defaultMemberUniqueName="[Range].[Floor No.].[All]" allUniqueName="[Range].[Floor No.].[All]" dimensionUniqueName="[Range]" displayFolder="" count="2" memberValueDatatype="130" unbalanced="0"/>
    <cacheHierarchy uniqueName="[Range].[Wing]" caption="Wing" attribute="1" defaultMemberUniqueName="[Range].[Wing].[All]" allUniqueName="[Range].[Wing].[All]" dimensionUniqueName="[Range]" displayFolder="" count="2" memberValueDatatype="130" unbalanced="0">
      <fieldsUsage count="2">
        <fieldUsage x="-1"/>
        <fieldUsage x="0"/>
      </fieldsUsage>
    </cacheHierarchy>
    <cacheHierarchy uniqueName="[Range].[Extension]" caption="Extension" attribute="1" defaultMemberUniqueName="[Range].[Extension].[All]" allUniqueName="[Range].[Extension].[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ID]" caption="Count of Emp ID"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Emp No.]" caption="Sum of Emp No."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esh Sangem" refreshedDate="46063.725168171295" backgroundQuery="1" createdVersion="8" refreshedVersion="8" minRefreshableVersion="3" recordCount="0" supportSubquery="1" supportAdvancedDrill="1" xr:uid="{49E49FB8-5965-4C3F-9A63-A6328778AC8B}">
  <cacheSource type="external" connectionId="1"/>
  <cacheFields count="2">
    <cacheField name="[Measures].[Count of Emp ID]" caption="Count of Emp ID" numFmtId="0" hierarchy="15" level="32767"/>
    <cacheField name="[Range].[Wing].[Wing]" caption="Wing" numFmtId="0" hierarchy="11" level="1">
      <sharedItems containsSemiMixedTypes="0" containsNonDate="0" containsString="0"/>
    </cacheField>
  </cacheFields>
  <cacheHierarchies count="17">
    <cacheHierarchy uniqueName="[Range].[Emp No.]" caption="Emp No." attribute="1" defaultMemberUniqueName="[Range].[Emp No.].[All]" allUniqueName="[Range].[Emp No.].[All]" dimensionUniqueName="[Range]" displayFolder="" count="0" memberValueDatatype="20" unbalanced="0"/>
    <cacheHierarchy uniqueName="[Range].[Full/Part Time]" caption="Full/Part Time" attribute="1" defaultMemberUniqueName="[Range].[Full/Part Time].[All]" allUniqueName="[Range].[Full/Part Time].[All]" dimensionUniqueName="[Range]" displayFolder="" count="0" memberValueDatatype="130" unbalanced="0"/>
    <cacheHierarchy uniqueName="[Range].[Emp ID]" caption="Emp ID" attribute="1" defaultMemberUniqueName="[Range].[Emp ID].[All]" allUniqueName="[Range].[Emp ID].[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Date of Hire]" caption="Date of Hire" attribute="1" time="1" defaultMemberUniqueName="[Range].[Date of Hire].[All]" allUniqueName="[Range].[Date of Hire].[All]" dimensionUniqueName="[Range]" displayFolder="" count="0" memberValueDatatype="7" unbalanced="0"/>
    <cacheHierarchy uniqueName="[Range].[Department]" caption="Department" attribute="1" defaultMemberUniqueName="[Range].[Department].[All]" allUniqueName="[Range].[Department].[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Floor No.]" caption="Floor No." attribute="1" defaultMemberUniqueName="[Range].[Floor No.].[All]" allUniqueName="[Range].[Floor No.].[All]" dimensionUniqueName="[Range]" displayFolder="" count="0" memberValueDatatype="130" unbalanced="0"/>
    <cacheHierarchy uniqueName="[Range].[Wing]" caption="Wing" attribute="1" defaultMemberUniqueName="[Range].[Wing].[All]" allUniqueName="[Range].[Wing].[All]" dimensionUniqueName="[Range]" displayFolder="" count="2" memberValueDatatype="130" unbalanced="0">
      <fieldsUsage count="2">
        <fieldUsage x="-1"/>
        <fieldUsage x="1"/>
      </fieldsUsage>
    </cacheHierarchy>
    <cacheHierarchy uniqueName="[Range].[Extension]" caption="Extension" attribute="1" defaultMemberUniqueName="[Range].[Extension].[All]" allUniqueName="[Range].[Extension].[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ID]" caption="Count of Emp ID"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Emp No.]" caption="Sum of Emp No."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esh Sangem" refreshedDate="46063.72517164352" backgroundQuery="1" createdVersion="8" refreshedVersion="8" minRefreshableVersion="3" recordCount="0" supportSubquery="1" supportAdvancedDrill="1" xr:uid="{113F6772-F97B-463E-AE24-5897CA626E76}">
  <cacheSource type="external" connectionId="1"/>
  <cacheFields count="2">
    <cacheField name="[Range].[Department].[Department]" caption="Department" numFmtId="0" hierarchy="8" level="1">
      <sharedItems count="7">
        <s v="Accounting"/>
        <s v="Customer Service"/>
        <s v="Executive"/>
        <s v="Facilities"/>
        <s v="Human Resources"/>
        <s v="IT"/>
        <s v="Sales"/>
      </sharedItems>
    </cacheField>
    <cacheField name="[Measures].[Count of Emp ID]" caption="Count of Emp ID" numFmtId="0" hierarchy="15" level="32767"/>
  </cacheFields>
  <cacheHierarchies count="17">
    <cacheHierarchy uniqueName="[Range].[Emp No.]" caption="Emp No." attribute="1" defaultMemberUniqueName="[Range].[Emp No.].[All]" allUniqueName="[Range].[Emp No.].[All]" dimensionUniqueName="[Range]" displayFolder="" count="2" memberValueDatatype="20" unbalanced="0"/>
    <cacheHierarchy uniqueName="[Range].[Full/Part Time]" caption="Full/Part Time" attribute="1" defaultMemberUniqueName="[Range].[Full/Part Time].[All]" allUniqueName="[Range].[Full/Part Time].[All]" dimensionUniqueName="[Range]" displayFolder="" count="2" memberValueDatatype="130" unbalanced="0"/>
    <cacheHierarchy uniqueName="[Range].[Emp ID]" caption="Emp ID" attribute="1" defaultMemberUniqueName="[Range].[Emp ID].[All]" allUniqueName="[Range].[Emp ID].[All]" dimensionUniqueName="[Range]" displayFolder="" count="2" memberValueDatatype="130" unbalanced="0"/>
    <cacheHierarchy uniqueName="[Range].[Last Name]" caption="Last Name" attribute="1" defaultMemberUniqueName="[Range].[Last Name].[All]" allUniqueName="[Range].[Last Name].[All]" dimensionUniqueName="[Range]" displayFolder="" count="2" memberValueDatatype="130" unbalanced="0"/>
    <cacheHierarchy uniqueName="[Range].[First Name]" caption="First Name" attribute="1" defaultMemberUniqueName="[Range].[First Name].[All]" allUniqueName="[Range].[First Name].[All]" dimensionUniqueName="[Range]" displayFolder="" count="2" memberValueDatatype="130" unbalanced="0"/>
    <cacheHierarchy uniqueName="[Range].[Full Name]" caption="Full Name" attribute="1" defaultMemberUniqueName="[Range].[Full Name].[All]" allUniqueName="[Range].[Full Name].[All]" dimensionUniqueName="[Range]" displayFolder="" count="2" memberValueDatatype="130" unbalanced="0"/>
    <cacheHierarchy uniqueName="[Range].[Email]" caption="Email" attribute="1" defaultMemberUniqueName="[Range].[Email].[All]" allUniqueName="[Range].[Email].[All]" dimensionUniqueName="[Range]" displayFolder="" count="2" memberValueDatatype="130" unbalanced="0"/>
    <cacheHierarchy uniqueName="[Range].[Date of Hire]" caption="Date of Hire" attribute="1" time="1" defaultMemberUniqueName="[Range].[Date of Hire].[All]" allUniqueName="[Range].[Date of Hire].[All]" dimensionUniqueName="[Range]" displayFolder="" count="2" memberValueDatatype="7"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Location]" caption="Location" attribute="1" defaultMemberUniqueName="[Range].[Location].[All]" allUniqueName="[Range].[Location].[All]" dimensionUniqueName="[Range]" displayFolder="" count="2" memberValueDatatype="130" unbalanced="0"/>
    <cacheHierarchy uniqueName="[Range].[Floor No.]" caption="Floor No." attribute="1" defaultMemberUniqueName="[Range].[Floor No.].[All]" allUniqueName="[Range].[Floor No.].[All]" dimensionUniqueName="[Range]" displayFolder="" count="2" memberValueDatatype="130" unbalanced="0"/>
    <cacheHierarchy uniqueName="[Range].[Wing]" caption="Wing" attribute="1" defaultMemberUniqueName="[Range].[Wing].[All]" allUniqueName="[Range].[Wing].[All]" dimensionUniqueName="[Range]" displayFolder="" count="2" memberValueDatatype="130" unbalanced="0"/>
    <cacheHierarchy uniqueName="[Range].[Extension]" caption="Extension" attribute="1" defaultMemberUniqueName="[Range].[Extension].[All]" allUniqueName="[Range].[Extension].[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ID]" caption="Count of Emp ID"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Emp No.]" caption="Sum of Emp No."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esh Sangem" refreshedDate="46063.69827951389" backgroundQuery="1" createdVersion="3" refreshedVersion="8" minRefreshableVersion="3" recordCount="0" supportSubquery="1" supportAdvancedDrill="1" xr:uid="{9B59002C-B9FC-45F3-89EF-06E0AC357D34}">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Range].[Emp No.]" caption="Emp No." attribute="1" defaultMemberUniqueName="[Range].[Emp No.].[All]" allUniqueName="[Range].[Emp No.].[All]" dimensionUniqueName="[Range]" displayFolder="" count="0" memberValueDatatype="20" unbalanced="0"/>
    <cacheHierarchy uniqueName="[Range].[Full/Part Time]" caption="Full/Part Time" attribute="1" defaultMemberUniqueName="[Range].[Full/Part Time].[All]" allUniqueName="[Range].[Full/Part Time].[All]" dimensionUniqueName="[Range]" displayFolder="" count="0" memberValueDatatype="130" unbalanced="0"/>
    <cacheHierarchy uniqueName="[Range].[Emp ID]" caption="Emp ID" attribute="1" defaultMemberUniqueName="[Range].[Emp ID].[All]" allUniqueName="[Range].[Emp ID].[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Date of Hire]" caption="Date of Hire" attribute="1" time="1" defaultMemberUniqueName="[Range].[Date of Hire].[All]" allUniqueName="[Range].[Date of Hire].[All]" dimensionUniqueName="[Range]" displayFolder="" count="0" memberValueDatatype="7" unbalanced="0"/>
    <cacheHierarchy uniqueName="[Range].[Department]" caption="Department" attribute="1" defaultMemberUniqueName="[Range].[Department].[All]" allUniqueName="[Range].[Department].[All]" dimensionUniqueName="[Range]" displayFolder="" count="2"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Floor No.]" caption="Floor No." attribute="1" defaultMemberUniqueName="[Range].[Floor No.].[All]" allUniqueName="[Range].[Floor No.].[All]" dimensionUniqueName="[Range]" displayFolder="" count="2" memberValueDatatype="130" unbalanced="0"/>
    <cacheHierarchy uniqueName="[Range].[Wing]" caption="Wing" attribute="1" defaultMemberUniqueName="[Range].[Wing].[All]" allUniqueName="[Range].[Wing].[All]" dimensionUniqueName="[Range]" displayFolder="" count="2" memberValueDatatype="130" unbalanced="0"/>
    <cacheHierarchy uniqueName="[Range].[Extension]" caption="Extension" attribute="1" defaultMemberUniqueName="[Range].[Extension].[All]" allUniqueName="[Range].[Extension].[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ID]" caption="Count of Emp ID" measure="1" displayFolder="" measureGroup="Range" count="0" hidden="1">
      <extLst>
        <ext xmlns:x15="http://schemas.microsoft.com/office/spreadsheetml/2010/11/main" uri="{B97F6D7D-B522-45F9-BDA1-12C45D357490}">
          <x15:cacheHierarchy aggregatedColumn="2"/>
        </ext>
      </extLst>
    </cacheHierarchy>
    <cacheHierarchy uniqueName="[Measures].[Sum of Emp No.]" caption="Sum of Emp No."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8545838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118F78-1693-45F5-BC76-9C7F557A69B9}" name="PivotTable4" cacheId="14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L2:M6" firstHeaderRow="1" firstDataRow="1" firstDataCol="1"/>
  <pivotFields count="2">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1">
    <field x="0"/>
  </rowFields>
  <rowItems count="4">
    <i>
      <x/>
    </i>
    <i>
      <x v="1"/>
    </i>
    <i>
      <x v="2"/>
    </i>
    <i t="grand">
      <x/>
    </i>
  </rowItems>
  <colItems count="1">
    <i/>
  </colItems>
  <dataFields count="1">
    <dataField name="Count of Emp 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 chart="9" format="9">
      <pivotArea type="data" outline="0" fieldPosition="0">
        <references count="2">
          <reference field="4294967294" count="1" selected="0">
            <x v="0"/>
          </reference>
          <reference field="0" count="1" selected="0">
            <x v="2"/>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A$3:$M$3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B78766-4BF3-4D5E-AE53-4F13707099C7}" name="PivotTable3" cacheId="28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H2:I10" firstHeaderRow="1" firstDataRow="1" firstDataCol="1"/>
  <pivotFields count="2">
    <pivotField axis="axisRow" compact="0" allDrilled="1" outline="0" subtotalTop="0" showAll="0" dataSourceSort="1" defaultSubtotal="0" defaultAttributeDrillState="1">
      <items count="7">
        <item x="0"/>
        <item x="1"/>
        <item x="2"/>
        <item x="3"/>
        <item x="4"/>
        <item x="5"/>
        <item x="6"/>
      </items>
    </pivotField>
    <pivotField dataField="1" compact="0" outline="0" subtotalTop="0" showAll="0" defaultSubtotal="0"/>
  </pivotFields>
  <rowFields count="1">
    <field x="0"/>
  </rowFields>
  <rowItems count="8">
    <i>
      <x/>
    </i>
    <i>
      <x v="1"/>
    </i>
    <i>
      <x v="2"/>
    </i>
    <i>
      <x v="3"/>
    </i>
    <i>
      <x v="4"/>
    </i>
    <i>
      <x v="5"/>
    </i>
    <i>
      <x v="6"/>
    </i>
    <i t="grand">
      <x/>
    </i>
  </rowItems>
  <colItems count="1">
    <i/>
  </colItems>
  <dataFields count="1">
    <dataField name="Count of Emp I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A$3:$M$3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3AD88F-4C50-4923-BB27-8E46355BB1EE}" name="PivotTable2" cacheId="27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D2:E6" firstHeaderRow="1" firstDataRow="1" firstDataCol="1"/>
  <pivotFields count="2">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1">
    <field x="0"/>
  </rowFields>
  <rowItems count="4">
    <i>
      <x/>
    </i>
    <i>
      <x v="1"/>
    </i>
    <i>
      <x v="2"/>
    </i>
    <i t="grand">
      <x/>
    </i>
  </rowItems>
  <colItems count="1">
    <i/>
  </colItems>
  <dataFields count="1">
    <dataField name="Count of Emp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A$3:$M$3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A8CB53-4A51-4FC4-966D-4B708FD713B2}" name="PivotTable1" cacheId="2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Emp ID" fld="0" subtotal="count" baseField="0" baseItem="0"/>
  </dataField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A$3:$M$3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g" xr10:uid="{48BADF7F-6D9B-43A1-893A-0F117D70A946}" sourceName="[Range].[Wing]">
  <pivotTables>
    <pivotTable tabId="4" name="PivotTable2"/>
    <pivotTable tabId="4" name="PivotTable1"/>
    <pivotTable tabId="4" name="PivotTable3"/>
  </pivotTables>
  <data>
    <olap pivotCacheId="1854583889">
      <levels count="2">
        <level uniqueName="[Range].[Wing].[(All)]" sourceCaption="(All)" count="0"/>
        <level uniqueName="[Range].[Wing].[Wing]" sourceCaption="Wing" count="3">
          <ranges>
            <range startItem="0">
              <i n="[Range].[Wing].&amp;[East]" c="East"/>
              <i n="[Range].[Wing].&amp;[North]" c="North"/>
              <i n="[Range].[Wing].&amp;[West]" c="West"/>
            </range>
          </ranges>
        </level>
      </levels>
      <selections count="1">
        <selection n="[Range].[Win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oor_No." xr10:uid="{B572CAD5-0A20-4EF5-A77C-81B7B643E33D}" sourceName="[Range].[Floor No.]">
  <pivotTables>
    <pivotTable tabId="4" name="PivotTable4"/>
  </pivotTables>
  <data>
    <olap pivotCacheId="1854583889">
      <levels count="2">
        <level uniqueName="[Range].[Floor No.].[(All)]" sourceCaption="(All)" count="0"/>
        <level uniqueName="[Range].[Floor No.].[Floor No.]" sourceCaption="Floor No." count="3">
          <ranges>
            <range startItem="0">
              <i n="[Range].[Floor No.].&amp;[01]" c="01"/>
              <i n="[Range].[Floor No.].&amp;[02]" c="02"/>
              <i n="[Range].[Floor No.].&amp;[03]" c="03"/>
            </range>
          </ranges>
        </level>
      </levels>
      <selections count="1">
        <selection n="[Range].[Floor No.].[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D0E50D8-2CE9-4D4E-B913-1A8CFC685116}" sourceName="[Range].[Department]">
  <pivotTables>
    <pivotTable tabId="4" name="PivotTable3"/>
  </pivotTables>
  <data>
    <olap pivotCacheId="1854583889">
      <levels count="2">
        <level uniqueName="[Range].[Department].[(All)]" sourceCaption="(All)" count="0"/>
        <level uniqueName="[Range].[Department].[Department]" sourceCaption="Department" count="7">
          <ranges>
            <range startItem="0">
              <i n="[Range].[Department].&amp;[Accounting]" c="Accounting"/>
              <i n="[Range].[Department].&amp;[Customer Service]" c="Customer Service"/>
              <i n="[Range].[Department].&amp;[Executive]" c="Executive"/>
              <i n="[Range].[Department].&amp;[Facilities]" c="Facilities"/>
              <i n="[Range].[Department].&amp;[Human Resources]" c="Human Resources"/>
              <i n="[Range].[Department].&amp;[IT]" c="IT"/>
              <i n="[Range].[Department].&amp;[Sales]" c="Sales"/>
            </range>
          </ranges>
        </level>
      </levels>
      <selections count="1">
        <selection n="[Range].[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ing" xr10:uid="{BC08D73E-DD88-40BB-8874-15AAD40D8B8C}" cache="Slicer_Wing" caption="Wing" level="1" style="Slicer Style 1" rowHeight="504000"/>
  <slicer name="Floor No." xr10:uid="{E781DFAA-D689-4FB5-9BF6-60A5BEE981E0}" cache="Slicer_Floor_No." caption="Floor No." level="1" style="Slicer Style 1" rowHeight="828000"/>
  <slicer name="Department" xr10:uid="{22F91FF6-D41E-4328-9CB1-A1909709DF90}" cache="Slicer_Department" caption="Department" level="1" style="Slicer Style 1" rowHeight="3600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OC">
  <a:themeElements>
    <a:clrScheme name="BOC2">
      <a:dk1>
        <a:sysClr val="windowText" lastClr="000000"/>
      </a:dk1>
      <a:lt1>
        <a:sysClr val="window" lastClr="FFFFFF"/>
      </a:lt1>
      <a:dk2>
        <a:srgbClr val="44546A"/>
      </a:dk2>
      <a:lt2>
        <a:srgbClr val="E7E6E6"/>
      </a:lt2>
      <a:accent1>
        <a:srgbClr val="B30738"/>
      </a:accent1>
      <a:accent2>
        <a:srgbClr val="A5A5A5"/>
      </a:accent2>
      <a:accent3>
        <a:srgbClr val="595959"/>
      </a:accent3>
      <a:accent4>
        <a:srgbClr val="4472C4"/>
      </a:accent4>
      <a:accent5>
        <a:srgbClr val="5B9BD5"/>
      </a:accent5>
      <a:accent6>
        <a:srgbClr val="8B1324"/>
      </a:accent6>
      <a:hlink>
        <a:srgbClr val="4472C4"/>
      </a:hlink>
      <a:folHlink>
        <a:srgbClr val="4472C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535D1-C836-4F64-B2E2-7578EE4D7B3D}">
  <sheetPr codeName="Sheet1"/>
  <dimension ref="B2:P27"/>
  <sheetViews>
    <sheetView showGridLines="0" topLeftCell="A16" zoomScale="120" zoomScaleNormal="120" workbookViewId="0">
      <selection activeCell="C26" sqref="C26"/>
    </sheetView>
  </sheetViews>
  <sheetFormatPr defaultRowHeight="14.4" x14ac:dyDescent="0.3"/>
  <cols>
    <col min="1" max="1" width="5.33203125" customWidth="1"/>
    <col min="2" max="2" width="4.44140625" style="7" customWidth="1"/>
    <col min="8" max="8" width="16.88671875" customWidth="1"/>
    <col min="15" max="15" width="23.44140625" customWidth="1"/>
    <col min="16" max="16" width="7.44140625" customWidth="1"/>
  </cols>
  <sheetData>
    <row r="2" spans="2:16" ht="31.2" x14ac:dyDescent="0.6">
      <c r="I2" s="13" t="s">
        <v>148</v>
      </c>
      <c r="J2" s="13"/>
      <c r="K2" s="13"/>
      <c r="L2" s="13"/>
      <c r="M2" s="13"/>
      <c r="N2" s="13"/>
      <c r="O2" s="13"/>
      <c r="P2" s="13"/>
    </row>
    <row r="3" spans="2:16" ht="21" x14ac:dyDescent="0.4">
      <c r="I3" s="14" t="s">
        <v>149</v>
      </c>
      <c r="J3" s="14"/>
      <c r="K3" s="14"/>
      <c r="L3" s="14"/>
      <c r="M3" s="14"/>
      <c r="N3" s="14"/>
      <c r="O3" s="14"/>
      <c r="P3" s="14"/>
    </row>
    <row r="4" spans="2:16" ht="17.7" customHeight="1" x14ac:dyDescent="0.3"/>
    <row r="5" spans="2:16" ht="21.45" customHeight="1" x14ac:dyDescent="0.3">
      <c r="I5" s="12" t="s">
        <v>137</v>
      </c>
      <c r="J5" s="12"/>
      <c r="K5" s="12"/>
      <c r="L5" s="12"/>
      <c r="M5" s="12"/>
      <c r="N5" s="12"/>
      <c r="O5" s="12"/>
      <c r="P5" s="12"/>
    </row>
    <row r="8" spans="2:16" ht="18.600000000000001" thickBot="1" x14ac:dyDescent="0.4">
      <c r="B8" s="11" t="s">
        <v>118</v>
      </c>
      <c r="C8" s="6"/>
      <c r="D8" s="6"/>
      <c r="E8" s="6"/>
      <c r="F8" s="6"/>
      <c r="G8" s="6"/>
      <c r="H8" s="6"/>
      <c r="I8" s="6"/>
      <c r="J8" s="6"/>
      <c r="K8" s="6"/>
      <c r="L8" s="6"/>
      <c r="M8" s="6"/>
      <c r="N8" s="6"/>
      <c r="O8" s="6"/>
      <c r="P8" s="6"/>
    </row>
    <row r="9" spans="2:16" x14ac:dyDescent="0.3">
      <c r="B9" t="s">
        <v>138</v>
      </c>
    </row>
    <row r="10" spans="2:16" ht="8.25" customHeight="1" x14ac:dyDescent="0.3"/>
    <row r="11" spans="2:16" x14ac:dyDescent="0.3">
      <c r="B11" s="7" t="s">
        <v>119</v>
      </c>
      <c r="C11" t="s">
        <v>139</v>
      </c>
    </row>
    <row r="12" spans="2:16" ht="8.25" customHeight="1" x14ac:dyDescent="0.3"/>
    <row r="13" spans="2:16" x14ac:dyDescent="0.3">
      <c r="B13" s="7" t="s">
        <v>121</v>
      </c>
      <c r="C13" t="s">
        <v>145</v>
      </c>
    </row>
    <row r="14" spans="2:16" ht="8.25" customHeight="1" x14ac:dyDescent="0.3"/>
    <row r="15" spans="2:16" x14ac:dyDescent="0.3">
      <c r="B15" s="7" t="s">
        <v>132</v>
      </c>
      <c r="C15" t="s">
        <v>140</v>
      </c>
    </row>
    <row r="16" spans="2:16" x14ac:dyDescent="0.3">
      <c r="B16" s="7" t="s">
        <v>120</v>
      </c>
      <c r="C16" t="s">
        <v>146</v>
      </c>
    </row>
    <row r="17" spans="2:16" ht="8.25" customHeight="1" x14ac:dyDescent="0.3"/>
    <row r="18" spans="2:16" x14ac:dyDescent="0.3">
      <c r="B18" s="7" t="s">
        <v>133</v>
      </c>
      <c r="C18" t="s">
        <v>142</v>
      </c>
      <c r="P18" s="8" t="s">
        <v>122</v>
      </c>
    </row>
    <row r="19" spans="2:16" x14ac:dyDescent="0.3">
      <c r="B19" s="7" t="s">
        <v>120</v>
      </c>
      <c r="C19" t="s">
        <v>147</v>
      </c>
    </row>
    <row r="20" spans="2:16" ht="8.25" customHeight="1" x14ac:dyDescent="0.3"/>
    <row r="21" spans="2:16" x14ac:dyDescent="0.3">
      <c r="B21" s="7" t="s">
        <v>130</v>
      </c>
      <c r="C21" t="s">
        <v>143</v>
      </c>
      <c r="P21" s="8" t="s">
        <v>122</v>
      </c>
    </row>
    <row r="22" spans="2:16" x14ac:dyDescent="0.3">
      <c r="B22" s="7" t="s">
        <v>120</v>
      </c>
      <c r="C22" t="s">
        <v>141</v>
      </c>
    </row>
    <row r="23" spans="2:16" ht="8.25" customHeight="1" x14ac:dyDescent="0.3"/>
    <row r="24" spans="2:16" x14ac:dyDescent="0.3">
      <c r="B24" s="7" t="s">
        <v>131</v>
      </c>
      <c r="C24" t="s">
        <v>144</v>
      </c>
    </row>
    <row r="25" spans="2:16" x14ac:dyDescent="0.3">
      <c r="B25" s="7" t="s">
        <v>120</v>
      </c>
      <c r="C25" t="s">
        <v>134</v>
      </c>
      <c r="P25" s="8" t="s">
        <v>122</v>
      </c>
    </row>
    <row r="26" spans="2:16" x14ac:dyDescent="0.3">
      <c r="B26" s="7" t="s">
        <v>150</v>
      </c>
      <c r="C26" t="s">
        <v>151</v>
      </c>
    </row>
    <row r="27" spans="2:16" x14ac:dyDescent="0.3">
      <c r="B27" s="10" t="s">
        <v>136</v>
      </c>
    </row>
  </sheetData>
  <mergeCells count="3">
    <mergeCell ref="I5:P5"/>
    <mergeCell ref="I2:P2"/>
    <mergeCell ref="I3:P3"/>
  </mergeCells>
  <dataValidations count="3">
    <dataValidation allowBlank="1" showInputMessage="1" showErrorMessage="1" promptTitle="Hint:" prompt="You will need to use a LEFT function as well as a CONCATENATE or &amp;." sqref="P18" xr:uid="{1B82BFE0-3A03-46B5-80F3-AED050C99618}"/>
    <dataValidation allowBlank="1" showInputMessage="1" showErrorMessage="1" promptTitle="Hint:" prompt="There are extra characters at the end of the location data. Try finding out what they are and then use CLEAN, UNICHAR and SUBSTITUTE to remove them." sqref="P25" xr:uid="{061A439B-B230-4B2F-B263-DE3D87D93714}"/>
    <dataValidation allowBlank="1" showInputMessage="1" showErrorMessage="1" promptTitle="Hint:" prompt="You will need to use a MID and a FIND." sqref="P21" xr:uid="{6E0AF74D-7A94-4F91-98F3-2D44927E44D9}"/>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M38"/>
  <sheetViews>
    <sheetView topLeftCell="A3" zoomScaleNormal="100" workbookViewId="0">
      <selection activeCell="A3" sqref="A3:M38"/>
    </sheetView>
  </sheetViews>
  <sheetFormatPr defaultRowHeight="14.4" x14ac:dyDescent="0.3"/>
  <cols>
    <col min="1" max="1" width="8.6640625" style="10" customWidth="1"/>
    <col min="2" max="2" width="13" bestFit="1" customWidth="1"/>
    <col min="3" max="3" width="14.5546875" customWidth="1"/>
    <col min="4" max="5" width="13" customWidth="1"/>
    <col min="6" max="6" width="18.88671875" customWidth="1"/>
    <col min="7" max="7" width="22.44140625" customWidth="1"/>
    <col min="8" max="8" width="14" customWidth="1"/>
    <col min="9" max="9" width="17.6640625" customWidth="1"/>
    <col min="10" max="10" width="18.6640625" customWidth="1"/>
    <col min="11" max="11" width="10.109375" customWidth="1"/>
    <col min="12" max="12" width="10.6640625" customWidth="1"/>
    <col min="13" max="13" width="12.6640625" customWidth="1"/>
  </cols>
  <sheetData>
    <row r="1" spans="1:13" ht="23.4" x14ac:dyDescent="0.45">
      <c r="A1" s="9" t="s">
        <v>81</v>
      </c>
      <c r="B1" s="3"/>
      <c r="C1" s="3"/>
    </row>
    <row r="3" spans="1:13" ht="31.2" x14ac:dyDescent="0.3">
      <c r="A3" s="4" t="s">
        <v>129</v>
      </c>
      <c r="B3" s="4" t="s">
        <v>126</v>
      </c>
      <c r="C3" s="4" t="s">
        <v>0</v>
      </c>
      <c r="D3" s="4" t="s">
        <v>124</v>
      </c>
      <c r="E3" s="4" t="s">
        <v>125</v>
      </c>
      <c r="F3" s="4" t="s">
        <v>1</v>
      </c>
      <c r="G3" s="4" t="s">
        <v>2</v>
      </c>
      <c r="H3" s="4" t="s">
        <v>3</v>
      </c>
      <c r="I3" s="4" t="s">
        <v>4</v>
      </c>
      <c r="J3" s="4" t="s">
        <v>5</v>
      </c>
      <c r="K3" s="4" t="s">
        <v>123</v>
      </c>
      <c r="L3" s="4" t="s">
        <v>80</v>
      </c>
      <c r="M3" s="4" t="s">
        <v>135</v>
      </c>
    </row>
    <row r="4" spans="1:13" x14ac:dyDescent="0.3">
      <c r="A4" s="10">
        <v>1180</v>
      </c>
      <c r="B4" t="s">
        <v>127</v>
      </c>
      <c r="C4" t="str">
        <f>A4&amp;B4</f>
        <v>1180F</v>
      </c>
      <c r="D4" t="s">
        <v>82</v>
      </c>
      <c r="E4" s="5" t="s">
        <v>62</v>
      </c>
      <c r="F4" t="str">
        <f>E4&amp;" "&amp;D4</f>
        <v>Stevie Bacata</v>
      </c>
      <c r="G4" t="str">
        <f>LEFT(E4,1)&amp;D4&amp;"@zenco.com"</f>
        <v>SBacata@zenco.com</v>
      </c>
      <c r="H4" s="1">
        <v>39551</v>
      </c>
      <c r="I4" s="2" t="s">
        <v>69</v>
      </c>
      <c r="J4" s="2" t="s">
        <v>83</v>
      </c>
      <c r="K4" s="2" t="str">
        <f>LEFT(J4,2)</f>
        <v>02</v>
      </c>
      <c r="L4" t="str">
        <f>SUBSTITUTE(
MID(J4,FIND("-",J4)+1,FIND("-",J4,FIND("-",J4)+1)-FIND("-",J4)-1),
"NorthEast","North"
)</f>
        <v>West</v>
      </c>
      <c r="M4" t="str">
        <f>TEXT(RIGHT(J4,LEN(J4)-FIND("-",J4,FIND("-",J4)+1)),"0000")</f>
        <v>2635 </v>
      </c>
    </row>
    <row r="5" spans="1:13" x14ac:dyDescent="0.3">
      <c r="A5" s="10">
        <v>1110</v>
      </c>
      <c r="B5" t="s">
        <v>127</v>
      </c>
      <c r="C5" t="str">
        <f t="shared" ref="C5:C38" si="0">A5&amp;B5</f>
        <v>1110F</v>
      </c>
      <c r="D5" t="s">
        <v>7</v>
      </c>
      <c r="E5" s="5" t="s">
        <v>11</v>
      </c>
      <c r="F5" t="str">
        <f t="shared" ref="F5:F38" si="1">E5&amp;" "&amp;D5</f>
        <v>Adam BARRY</v>
      </c>
      <c r="G5" t="str">
        <f t="shared" ref="G5:G38" si="2">LEFT(E5,1)&amp;D5&amp;"@zenco.com"</f>
        <v>ABARRY@zenco.com</v>
      </c>
      <c r="H5" s="1">
        <v>38099</v>
      </c>
      <c r="I5" s="2" t="s">
        <v>30</v>
      </c>
      <c r="J5" s="2" t="s">
        <v>84</v>
      </c>
      <c r="K5" s="2" t="str">
        <f t="shared" ref="K5:K38" si="3">LEFT(J5,2)</f>
        <v>02</v>
      </c>
      <c r="L5" t="str">
        <f t="shared" ref="L5:L38" si="4">SUBSTITUTE(
MID(J5,FIND("-",J5)+1,FIND("-",J5,FIND("-",J5)+1)-FIND("-",J5)-1),
"NorthEast","North"
)</f>
        <v>West</v>
      </c>
      <c r="M5" t="str">
        <f t="shared" ref="M5:M38" si="5">TEXT(RIGHT(J5,LEN(J5)-FIND("-",J5,FIND("-",J5)+1)),"0000")</f>
        <v>2018 </v>
      </c>
    </row>
    <row r="6" spans="1:13" x14ac:dyDescent="0.3">
      <c r="A6" s="10">
        <v>1232</v>
      </c>
      <c r="B6" t="s">
        <v>127</v>
      </c>
      <c r="C6" t="str">
        <f t="shared" si="0"/>
        <v>1232F</v>
      </c>
      <c r="D6" t="s">
        <v>57</v>
      </c>
      <c r="E6" s="5" t="s">
        <v>56</v>
      </c>
      <c r="F6" t="str">
        <f t="shared" si="1"/>
        <v>Connor Betts</v>
      </c>
      <c r="G6" t="str">
        <f t="shared" si="2"/>
        <v>CBetts@zenco.com</v>
      </c>
      <c r="H6" s="1">
        <v>41956</v>
      </c>
      <c r="I6" s="2" t="s">
        <v>69</v>
      </c>
      <c r="J6" s="2" t="s">
        <v>85</v>
      </c>
      <c r="K6" s="2" t="str">
        <f t="shared" si="3"/>
        <v>02</v>
      </c>
      <c r="L6" t="str">
        <f t="shared" si="4"/>
        <v>North</v>
      </c>
      <c r="M6" t="str">
        <f t="shared" si="5"/>
        <v>2347 </v>
      </c>
    </row>
    <row r="7" spans="1:13" x14ac:dyDescent="0.3">
      <c r="A7" s="10">
        <v>1243</v>
      </c>
      <c r="B7" t="s">
        <v>128</v>
      </c>
      <c r="C7" t="str">
        <f t="shared" si="0"/>
        <v>1243P</v>
      </c>
      <c r="D7" t="s">
        <v>39</v>
      </c>
      <c r="E7" s="5" t="s">
        <v>38</v>
      </c>
      <c r="F7" t="str">
        <f t="shared" si="1"/>
        <v>Fred BINGA</v>
      </c>
      <c r="G7" t="str">
        <f t="shared" si="2"/>
        <v>FBINGA@zenco.com</v>
      </c>
      <c r="H7" s="1">
        <v>42229</v>
      </c>
      <c r="I7" s="2" t="s">
        <v>17</v>
      </c>
      <c r="J7" s="2" t="s">
        <v>86</v>
      </c>
      <c r="K7" s="2" t="str">
        <f t="shared" si="3"/>
        <v>03</v>
      </c>
      <c r="L7" t="str">
        <f t="shared" si="4"/>
        <v>West</v>
      </c>
      <c r="M7" t="str">
        <f t="shared" si="5"/>
        <v>2764 </v>
      </c>
    </row>
    <row r="8" spans="1:13" x14ac:dyDescent="0.3">
      <c r="A8" s="10">
        <v>1248</v>
      </c>
      <c r="B8" t="s">
        <v>128</v>
      </c>
      <c r="C8" t="str">
        <f t="shared" si="0"/>
        <v>1248P</v>
      </c>
      <c r="D8" t="s">
        <v>59</v>
      </c>
      <c r="E8" s="5" t="s">
        <v>58</v>
      </c>
      <c r="F8" t="str">
        <f t="shared" si="1"/>
        <v>Yvette Biti</v>
      </c>
      <c r="G8" t="str">
        <f t="shared" si="2"/>
        <v>YBiti@zenco.com</v>
      </c>
      <c r="H8" s="1">
        <v>42384</v>
      </c>
      <c r="I8" s="2" t="s">
        <v>69</v>
      </c>
      <c r="J8" s="2" t="s">
        <v>115</v>
      </c>
      <c r="K8" s="2" t="str">
        <f t="shared" si="3"/>
        <v>02</v>
      </c>
      <c r="L8" t="str">
        <f t="shared" si="4"/>
        <v>West</v>
      </c>
      <c r="M8" t="str">
        <f t="shared" si="5"/>
        <v>2589 _x001F_</v>
      </c>
    </row>
    <row r="9" spans="1:13" x14ac:dyDescent="0.3">
      <c r="A9" s="10">
        <v>1227</v>
      </c>
      <c r="B9" t="s">
        <v>128</v>
      </c>
      <c r="C9" t="str">
        <f t="shared" si="0"/>
        <v>1227P</v>
      </c>
      <c r="D9" t="s">
        <v>25</v>
      </c>
      <c r="E9" s="5" t="s">
        <v>36</v>
      </c>
      <c r="F9" t="str">
        <f t="shared" si="1"/>
        <v>Jim BOLLER</v>
      </c>
      <c r="G9" t="str">
        <f t="shared" si="2"/>
        <v>JBOLLER@zenco.com</v>
      </c>
      <c r="H9" s="1">
        <v>41893</v>
      </c>
      <c r="I9" s="2" t="s">
        <v>15</v>
      </c>
      <c r="J9" s="2" t="s">
        <v>87</v>
      </c>
      <c r="K9" s="2" t="str">
        <f t="shared" si="3"/>
        <v>03</v>
      </c>
      <c r="L9" t="str">
        <f t="shared" si="4"/>
        <v>East</v>
      </c>
      <c r="M9" t="str">
        <f t="shared" si="5"/>
        <v>2318 </v>
      </c>
    </row>
    <row r="10" spans="1:13" x14ac:dyDescent="0.3">
      <c r="A10" s="10">
        <v>1230</v>
      </c>
      <c r="B10" t="s">
        <v>128</v>
      </c>
      <c r="C10" t="str">
        <f t="shared" si="0"/>
        <v>1230P</v>
      </c>
      <c r="D10" t="s">
        <v>61</v>
      </c>
      <c r="E10" s="5" t="s">
        <v>60</v>
      </c>
      <c r="F10" t="str">
        <f t="shared" si="1"/>
        <v>Charlie Bui</v>
      </c>
      <c r="G10" t="str">
        <f t="shared" si="2"/>
        <v>CBui@zenco.com</v>
      </c>
      <c r="H10" s="1">
        <v>41903</v>
      </c>
      <c r="I10" s="2" t="s">
        <v>69</v>
      </c>
      <c r="J10" s="2" t="s">
        <v>88</v>
      </c>
      <c r="K10" s="2" t="str">
        <f t="shared" si="3"/>
        <v>02</v>
      </c>
      <c r="L10" t="str">
        <f t="shared" si="4"/>
        <v>East</v>
      </c>
      <c r="M10" t="str">
        <f t="shared" si="5"/>
        <v>2694 </v>
      </c>
    </row>
    <row r="11" spans="1:13" x14ac:dyDescent="0.3">
      <c r="A11" s="10">
        <v>1162</v>
      </c>
      <c r="B11" t="s">
        <v>127</v>
      </c>
      <c r="C11" t="str">
        <f t="shared" si="0"/>
        <v>1162F</v>
      </c>
      <c r="D11" t="s">
        <v>43</v>
      </c>
      <c r="E11" s="5" t="s">
        <v>41</v>
      </c>
      <c r="F11" t="str">
        <f t="shared" si="1"/>
        <v>Barbara Carlton</v>
      </c>
      <c r="G11" t="str">
        <f t="shared" si="2"/>
        <v>BCarlton@zenco.com</v>
      </c>
      <c r="H11" s="1">
        <v>38798</v>
      </c>
      <c r="I11" s="2" t="s">
        <v>69</v>
      </c>
      <c r="J11" s="2" t="s">
        <v>89</v>
      </c>
      <c r="K11" s="2" t="str">
        <f t="shared" si="3"/>
        <v>02</v>
      </c>
      <c r="L11" t="str">
        <f t="shared" si="4"/>
        <v>West</v>
      </c>
      <c r="M11" t="str">
        <f t="shared" si="5"/>
        <v>2699 </v>
      </c>
    </row>
    <row r="12" spans="1:13" x14ac:dyDescent="0.3">
      <c r="A12" s="10">
        <v>1001</v>
      </c>
      <c r="B12" t="s">
        <v>128</v>
      </c>
      <c r="C12" t="str">
        <f t="shared" si="0"/>
        <v>1001P</v>
      </c>
      <c r="D12" t="s">
        <v>27</v>
      </c>
      <c r="E12" s="5" t="s">
        <v>29</v>
      </c>
      <c r="F12" t="str">
        <f t="shared" si="1"/>
        <v>Joe CAROL</v>
      </c>
      <c r="G12" t="str">
        <f t="shared" si="2"/>
        <v>JCAROL@zenco.com</v>
      </c>
      <c r="H12" s="1">
        <v>36923</v>
      </c>
      <c r="I12" s="2" t="s">
        <v>28</v>
      </c>
      <c r="J12" s="2" t="s">
        <v>90</v>
      </c>
      <c r="K12" s="2" t="str">
        <f t="shared" si="3"/>
        <v>01</v>
      </c>
      <c r="L12" t="str">
        <f t="shared" si="4"/>
        <v>East</v>
      </c>
      <c r="M12" t="str">
        <f t="shared" si="5"/>
        <v>2321 </v>
      </c>
    </row>
    <row r="13" spans="1:13" x14ac:dyDescent="0.3">
      <c r="A13" s="10">
        <v>1224</v>
      </c>
      <c r="B13" t="s">
        <v>127</v>
      </c>
      <c r="C13" t="str">
        <f t="shared" si="0"/>
        <v>1224F</v>
      </c>
      <c r="D13" t="s">
        <v>10</v>
      </c>
      <c r="E13" s="5" t="s">
        <v>36</v>
      </c>
      <c r="F13" t="str">
        <f t="shared" si="1"/>
        <v>Jim CHAFFEE</v>
      </c>
      <c r="G13" t="str">
        <f t="shared" si="2"/>
        <v>JCHAFFEE@zenco.com</v>
      </c>
      <c r="H13" s="1">
        <v>41787</v>
      </c>
      <c r="I13" s="2" t="s">
        <v>12</v>
      </c>
      <c r="J13" s="2" t="s">
        <v>91</v>
      </c>
      <c r="K13" s="2" t="str">
        <f t="shared" si="3"/>
        <v>03</v>
      </c>
      <c r="L13" t="str">
        <f t="shared" si="4"/>
        <v>West</v>
      </c>
      <c r="M13" t="str">
        <f t="shared" si="5"/>
        <v>2432 </v>
      </c>
    </row>
    <row r="14" spans="1:13" x14ac:dyDescent="0.3">
      <c r="A14" s="10">
        <v>1203</v>
      </c>
      <c r="B14" t="s">
        <v>128</v>
      </c>
      <c r="C14" t="str">
        <f t="shared" si="0"/>
        <v>1203P</v>
      </c>
      <c r="D14" t="s">
        <v>45</v>
      </c>
      <c r="E14" s="5" t="s">
        <v>44</v>
      </c>
      <c r="F14" t="str">
        <f t="shared" si="1"/>
        <v>Samantha Chairs</v>
      </c>
      <c r="G14" t="str">
        <f t="shared" si="2"/>
        <v>SChairs@zenco.com</v>
      </c>
      <c r="H14" s="1">
        <v>40595</v>
      </c>
      <c r="I14" s="2" t="s">
        <v>69</v>
      </c>
      <c r="J14" s="2" t="s">
        <v>92</v>
      </c>
      <c r="K14" s="2" t="str">
        <f t="shared" si="3"/>
        <v>02</v>
      </c>
      <c r="L14" t="str">
        <f t="shared" si="4"/>
        <v>West</v>
      </c>
      <c r="M14" t="str">
        <f t="shared" si="5"/>
        <v>2962 </v>
      </c>
    </row>
    <row r="15" spans="1:13" x14ac:dyDescent="0.3">
      <c r="A15" s="10">
        <v>1211</v>
      </c>
      <c r="B15" t="s">
        <v>128</v>
      </c>
      <c r="C15" t="str">
        <f t="shared" si="0"/>
        <v>1211P</v>
      </c>
      <c r="D15" t="s">
        <v>79</v>
      </c>
      <c r="E15" s="5" t="s">
        <v>78</v>
      </c>
      <c r="F15" t="str">
        <f t="shared" si="1"/>
        <v>Uma CHAUDRI</v>
      </c>
      <c r="G15" t="str">
        <f t="shared" si="2"/>
        <v>UCHAUDRI@zenco.com</v>
      </c>
      <c r="H15" s="1">
        <v>40994</v>
      </c>
      <c r="I15" s="2" t="s">
        <v>17</v>
      </c>
      <c r="J15" s="2" t="s">
        <v>116</v>
      </c>
      <c r="K15" s="2" t="str">
        <f t="shared" si="3"/>
        <v>03</v>
      </c>
      <c r="L15" t="str">
        <f t="shared" si="4"/>
        <v>East</v>
      </c>
      <c r="M15" t="str">
        <f t="shared" si="5"/>
        <v>2134 _x001F_</v>
      </c>
    </row>
    <row r="16" spans="1:13" x14ac:dyDescent="0.3">
      <c r="A16" s="10">
        <v>1198</v>
      </c>
      <c r="B16" t="s">
        <v>128</v>
      </c>
      <c r="C16" t="str">
        <f t="shared" si="0"/>
        <v>1198P</v>
      </c>
      <c r="D16" t="s">
        <v>37</v>
      </c>
      <c r="E16" s="5" t="s">
        <v>16</v>
      </c>
      <c r="F16" t="str">
        <f t="shared" si="1"/>
        <v>Elizabeth CHU</v>
      </c>
      <c r="G16" t="str">
        <f t="shared" si="2"/>
        <v>ECHU@zenco.com</v>
      </c>
      <c r="H16" s="1">
        <v>40220</v>
      </c>
      <c r="I16" s="2" t="s">
        <v>77</v>
      </c>
      <c r="J16" s="2" t="s">
        <v>93</v>
      </c>
      <c r="K16" s="2" t="str">
        <f t="shared" si="3"/>
        <v>01</v>
      </c>
      <c r="L16" t="str">
        <f t="shared" si="4"/>
        <v>West</v>
      </c>
      <c r="M16" t="str">
        <f t="shared" si="5"/>
        <v>2425 </v>
      </c>
    </row>
    <row r="17" spans="1:13" x14ac:dyDescent="0.3">
      <c r="A17" s="10">
        <v>1003</v>
      </c>
      <c r="B17" t="s">
        <v>127</v>
      </c>
      <c r="C17" t="str">
        <f t="shared" si="0"/>
        <v>1003F</v>
      </c>
      <c r="D17" t="s">
        <v>20</v>
      </c>
      <c r="E17" s="5" t="s">
        <v>70</v>
      </c>
      <c r="F17" t="str">
        <f t="shared" si="1"/>
        <v>Eric CHUNG</v>
      </c>
      <c r="G17" t="str">
        <f t="shared" si="2"/>
        <v>ECHUNG@zenco.com</v>
      </c>
      <c r="H17" s="1">
        <v>36949</v>
      </c>
      <c r="I17" s="2" t="s">
        <v>77</v>
      </c>
      <c r="J17" s="2" t="s">
        <v>94</v>
      </c>
      <c r="K17" s="2" t="str">
        <f t="shared" si="3"/>
        <v>03</v>
      </c>
      <c r="L17" t="str">
        <f t="shared" si="4"/>
        <v>West</v>
      </c>
      <c r="M17" t="str">
        <f t="shared" si="5"/>
        <v>2796 </v>
      </c>
    </row>
    <row r="18" spans="1:13" x14ac:dyDescent="0.3">
      <c r="A18" s="10">
        <v>1235</v>
      </c>
      <c r="B18" t="s">
        <v>127</v>
      </c>
      <c r="C18" t="str">
        <f t="shared" si="0"/>
        <v>1235F</v>
      </c>
      <c r="D18" t="s">
        <v>24</v>
      </c>
      <c r="E18" s="5" t="s">
        <v>73</v>
      </c>
      <c r="F18" t="str">
        <f t="shared" si="1"/>
        <v>ANNA CLARK</v>
      </c>
      <c r="G18" t="str">
        <f t="shared" si="2"/>
        <v>ACLARK@zenco.com</v>
      </c>
      <c r="H18" s="1">
        <v>41989</v>
      </c>
      <c r="I18" s="2" t="s">
        <v>15</v>
      </c>
      <c r="J18" s="2" t="s">
        <v>95</v>
      </c>
      <c r="K18" s="2" t="str">
        <f t="shared" si="3"/>
        <v>03</v>
      </c>
      <c r="L18" t="str">
        <f t="shared" si="4"/>
        <v>West</v>
      </c>
      <c r="M18" t="str">
        <f t="shared" si="5"/>
        <v>2601 </v>
      </c>
    </row>
    <row r="19" spans="1:13" x14ac:dyDescent="0.3">
      <c r="A19" s="10">
        <v>1253</v>
      </c>
      <c r="B19" t="s">
        <v>128</v>
      </c>
      <c r="C19" t="str">
        <f t="shared" si="0"/>
        <v>1253P</v>
      </c>
      <c r="D19" t="s">
        <v>24</v>
      </c>
      <c r="E19" s="5" t="s">
        <v>76</v>
      </c>
      <c r="F19" t="str">
        <f t="shared" si="1"/>
        <v>elizabeth CLARK</v>
      </c>
      <c r="G19" t="str">
        <f t="shared" si="2"/>
        <v>eCLARK@zenco.com</v>
      </c>
      <c r="H19" s="1">
        <v>42905</v>
      </c>
      <c r="I19" s="2" t="s">
        <v>30</v>
      </c>
      <c r="J19" s="2" t="s">
        <v>96</v>
      </c>
      <c r="K19" s="2" t="str">
        <f t="shared" si="3"/>
        <v>02</v>
      </c>
      <c r="L19" t="str">
        <f t="shared" si="4"/>
        <v>North</v>
      </c>
      <c r="M19" t="str">
        <f t="shared" si="5"/>
        <v>2414 </v>
      </c>
    </row>
    <row r="20" spans="1:13" x14ac:dyDescent="0.3">
      <c r="A20" s="10">
        <v>1221</v>
      </c>
      <c r="B20" t="s">
        <v>128</v>
      </c>
      <c r="C20" t="str">
        <f t="shared" si="0"/>
        <v>1221P</v>
      </c>
      <c r="D20" t="s">
        <v>8</v>
      </c>
      <c r="E20" s="5" t="s">
        <v>23</v>
      </c>
      <c r="F20" t="str">
        <f t="shared" si="1"/>
        <v>Sabrina COLE</v>
      </c>
      <c r="G20" t="str">
        <f t="shared" si="2"/>
        <v>SCOLE@zenco.com</v>
      </c>
      <c r="H20" s="1">
        <v>41401</v>
      </c>
      <c r="I20" s="2" t="s">
        <v>30</v>
      </c>
      <c r="J20" s="2" t="s">
        <v>97</v>
      </c>
      <c r="K20" s="2" t="str">
        <f t="shared" si="3"/>
        <v>02</v>
      </c>
      <c r="L20" t="str">
        <f t="shared" si="4"/>
        <v>West</v>
      </c>
      <c r="M20" t="str">
        <f t="shared" si="5"/>
        <v>2537 </v>
      </c>
    </row>
    <row r="21" spans="1:13" x14ac:dyDescent="0.3">
      <c r="A21" s="10">
        <v>1186</v>
      </c>
      <c r="B21" t="s">
        <v>127</v>
      </c>
      <c r="C21" t="str">
        <f t="shared" si="0"/>
        <v>1186F</v>
      </c>
      <c r="D21" t="s">
        <v>31</v>
      </c>
      <c r="E21" s="5" t="s">
        <v>19</v>
      </c>
      <c r="F21" t="str">
        <f t="shared" si="1"/>
        <v>Janet COMUNTZIS</v>
      </c>
      <c r="G21" t="str">
        <f t="shared" si="2"/>
        <v>JCOMUNTZIS@zenco.com</v>
      </c>
      <c r="H21" s="1">
        <v>39686</v>
      </c>
      <c r="I21" s="2" t="s">
        <v>30</v>
      </c>
      <c r="J21" s="2" t="s">
        <v>98</v>
      </c>
      <c r="K21" s="2" t="str">
        <f t="shared" si="3"/>
        <v>02</v>
      </c>
      <c r="L21" t="str">
        <f t="shared" si="4"/>
        <v>West</v>
      </c>
      <c r="M21" t="str">
        <f t="shared" si="5"/>
        <v>2286 </v>
      </c>
    </row>
    <row r="22" spans="1:13" x14ac:dyDescent="0.3">
      <c r="A22" s="10">
        <v>1218</v>
      </c>
      <c r="B22" t="s">
        <v>128</v>
      </c>
      <c r="C22" t="str">
        <f t="shared" si="0"/>
        <v>1218P</v>
      </c>
      <c r="D22" t="s">
        <v>6</v>
      </c>
      <c r="E22" s="5" t="s">
        <v>21</v>
      </c>
      <c r="F22" t="str">
        <f t="shared" si="1"/>
        <v>Bob DECKER</v>
      </c>
      <c r="G22" t="str">
        <f t="shared" si="2"/>
        <v>BDECKER@zenco.com</v>
      </c>
      <c r="H22" s="1">
        <v>41210</v>
      </c>
      <c r="I22" s="2" t="s">
        <v>77</v>
      </c>
      <c r="J22" s="2" t="s">
        <v>117</v>
      </c>
      <c r="K22" s="2" t="str">
        <f t="shared" si="3"/>
        <v>01</v>
      </c>
      <c r="L22" t="str">
        <f t="shared" si="4"/>
        <v>East</v>
      </c>
      <c r="M22" t="str">
        <f t="shared" si="5"/>
        <v>2086 _x001F_</v>
      </c>
    </row>
    <row r="23" spans="1:13" x14ac:dyDescent="0.3">
      <c r="A23" s="10">
        <v>1215</v>
      </c>
      <c r="B23" t="s">
        <v>127</v>
      </c>
      <c r="C23" t="str">
        <f t="shared" si="0"/>
        <v>1215F</v>
      </c>
      <c r="D23" t="s">
        <v>40</v>
      </c>
      <c r="E23" s="5" t="s">
        <v>42</v>
      </c>
      <c r="F23" t="str">
        <f t="shared" si="1"/>
        <v>Tina DESIATO</v>
      </c>
      <c r="G23" t="str">
        <f t="shared" si="2"/>
        <v>TDESIATO@zenco.com</v>
      </c>
      <c r="H23" s="1">
        <v>41175</v>
      </c>
      <c r="I23" t="s">
        <v>77</v>
      </c>
      <c r="J23" s="2" t="s">
        <v>99</v>
      </c>
      <c r="K23" s="2" t="str">
        <f t="shared" si="3"/>
        <v>01</v>
      </c>
      <c r="L23" t="str">
        <f t="shared" si="4"/>
        <v>East</v>
      </c>
      <c r="M23" t="str">
        <f t="shared" si="5"/>
        <v>2358 </v>
      </c>
    </row>
    <row r="24" spans="1:13" x14ac:dyDescent="0.3">
      <c r="A24" s="10">
        <v>1241</v>
      </c>
      <c r="B24" t="s">
        <v>128</v>
      </c>
      <c r="C24" t="str">
        <f t="shared" si="0"/>
        <v>1241P</v>
      </c>
      <c r="D24" t="s">
        <v>13</v>
      </c>
      <c r="E24" s="5" t="s">
        <v>34</v>
      </c>
      <c r="F24" t="str">
        <f t="shared" si="1"/>
        <v>Alexandra DONNELL</v>
      </c>
      <c r="G24" t="str">
        <f t="shared" si="2"/>
        <v>ADONNELL@zenco.com</v>
      </c>
      <c r="H24" s="1">
        <v>42228</v>
      </c>
      <c r="I24" s="2" t="s">
        <v>15</v>
      </c>
      <c r="J24" s="2" t="s">
        <v>100</v>
      </c>
      <c r="K24" s="2" t="str">
        <f t="shared" si="3"/>
        <v>03</v>
      </c>
      <c r="L24" t="str">
        <f t="shared" si="4"/>
        <v>West</v>
      </c>
      <c r="M24" t="str">
        <f t="shared" si="5"/>
        <v>2082 </v>
      </c>
    </row>
    <row r="25" spans="1:13" x14ac:dyDescent="0.3">
      <c r="A25" s="10">
        <v>1246</v>
      </c>
      <c r="B25" t="s">
        <v>127</v>
      </c>
      <c r="C25" t="str">
        <f t="shared" si="0"/>
        <v>1246F</v>
      </c>
      <c r="D25" t="s">
        <v>18</v>
      </c>
      <c r="E25" s="5" t="s">
        <v>32</v>
      </c>
      <c r="F25" t="str">
        <f t="shared" si="1"/>
        <v>Mark ELLIS</v>
      </c>
      <c r="G25" t="str">
        <f t="shared" si="2"/>
        <v>MELLIS@zenco.com</v>
      </c>
      <c r="H25" s="1">
        <v>42371</v>
      </c>
      <c r="I25" s="2" t="s">
        <v>77</v>
      </c>
      <c r="J25" s="2" t="s">
        <v>101</v>
      </c>
      <c r="K25" s="2" t="str">
        <f t="shared" si="3"/>
        <v>03</v>
      </c>
      <c r="L25" t="str">
        <f t="shared" si="4"/>
        <v>North</v>
      </c>
      <c r="M25" t="str">
        <f t="shared" si="5"/>
        <v>2482 </v>
      </c>
    </row>
    <row r="26" spans="1:13" x14ac:dyDescent="0.3">
      <c r="A26" s="10">
        <v>1172</v>
      </c>
      <c r="B26" t="s">
        <v>127</v>
      </c>
      <c r="C26" t="str">
        <f t="shared" si="0"/>
        <v>1172F</v>
      </c>
      <c r="D26" t="s">
        <v>64</v>
      </c>
      <c r="E26" s="5" t="s">
        <v>63</v>
      </c>
      <c r="F26" t="str">
        <f t="shared" si="1"/>
        <v>Nicholas Fernandes</v>
      </c>
      <c r="G26" t="str">
        <f t="shared" si="2"/>
        <v>NFernandes@zenco.com</v>
      </c>
      <c r="H26" s="1">
        <v>39023</v>
      </c>
      <c r="I26" s="2" t="s">
        <v>15</v>
      </c>
      <c r="J26" s="2" t="s">
        <v>102</v>
      </c>
      <c r="K26" s="2" t="str">
        <f t="shared" si="3"/>
        <v>02</v>
      </c>
      <c r="L26" t="str">
        <f t="shared" si="4"/>
        <v>East</v>
      </c>
      <c r="M26" t="str">
        <f t="shared" si="5"/>
        <v>2372 </v>
      </c>
    </row>
    <row r="27" spans="1:13" x14ac:dyDescent="0.3">
      <c r="A27" s="10">
        <v>1134</v>
      </c>
      <c r="B27" t="s">
        <v>127</v>
      </c>
      <c r="C27" t="str">
        <f t="shared" si="0"/>
        <v>1134F</v>
      </c>
      <c r="D27" t="s">
        <v>35</v>
      </c>
      <c r="E27" s="5" t="s">
        <v>26</v>
      </c>
      <c r="F27" t="str">
        <f t="shared" si="1"/>
        <v>Mary FERRIS</v>
      </c>
      <c r="G27" t="str">
        <f t="shared" si="2"/>
        <v>MFERRIS@zenco.com</v>
      </c>
      <c r="H27" s="1">
        <v>38548</v>
      </c>
      <c r="I27" s="2" t="s">
        <v>69</v>
      </c>
      <c r="J27" s="2" t="s">
        <v>103</v>
      </c>
      <c r="K27" s="2" t="str">
        <f t="shared" si="3"/>
        <v>03</v>
      </c>
      <c r="L27" t="str">
        <f t="shared" si="4"/>
        <v>East</v>
      </c>
      <c r="M27" t="str">
        <f t="shared" si="5"/>
        <v>2392 </v>
      </c>
    </row>
    <row r="28" spans="1:13" x14ac:dyDescent="0.3">
      <c r="A28" s="10">
        <v>1150</v>
      </c>
      <c r="B28" t="s">
        <v>127</v>
      </c>
      <c r="C28" t="str">
        <f t="shared" si="0"/>
        <v>1150F</v>
      </c>
      <c r="D28" t="s">
        <v>33</v>
      </c>
      <c r="E28" s="5" t="s">
        <v>14</v>
      </c>
      <c r="F28" t="str">
        <f t="shared" si="1"/>
        <v>Susan FILOSA</v>
      </c>
      <c r="G28" t="str">
        <f t="shared" si="2"/>
        <v>SFILOSA@zenco.com</v>
      </c>
      <c r="H28" s="1">
        <v>38744</v>
      </c>
      <c r="I28" s="2" t="s">
        <v>30</v>
      </c>
      <c r="J28" s="2" t="s">
        <v>104</v>
      </c>
      <c r="K28" s="2" t="str">
        <f t="shared" si="3"/>
        <v>02</v>
      </c>
      <c r="L28" t="str">
        <f t="shared" si="4"/>
        <v>West</v>
      </c>
      <c r="M28" t="str">
        <f t="shared" si="5"/>
        <v>2279 </v>
      </c>
    </row>
    <row r="29" spans="1:13" x14ac:dyDescent="0.3">
      <c r="A29" s="10">
        <v>1004</v>
      </c>
      <c r="B29" t="s">
        <v>128</v>
      </c>
      <c r="C29" t="str">
        <f t="shared" si="0"/>
        <v>1004P</v>
      </c>
      <c r="D29" t="s">
        <v>22</v>
      </c>
      <c r="E29" s="5" t="s">
        <v>9</v>
      </c>
      <c r="F29" t="str">
        <f t="shared" si="1"/>
        <v>Daniel FLANDERS</v>
      </c>
      <c r="G29" t="str">
        <f t="shared" si="2"/>
        <v>DFLANDERS@zenco.com</v>
      </c>
      <c r="H29" s="1">
        <v>37510</v>
      </c>
      <c r="I29" s="2" t="s">
        <v>69</v>
      </c>
      <c r="J29" s="2" t="s">
        <v>105</v>
      </c>
      <c r="K29" s="2" t="str">
        <f t="shared" si="3"/>
        <v>02</v>
      </c>
      <c r="L29" t="str">
        <f t="shared" si="4"/>
        <v>East</v>
      </c>
      <c r="M29" t="str">
        <f t="shared" si="5"/>
        <v>2639 </v>
      </c>
    </row>
    <row r="30" spans="1:13" x14ac:dyDescent="0.3">
      <c r="A30" s="10">
        <v>1239</v>
      </c>
      <c r="B30" t="s">
        <v>127</v>
      </c>
      <c r="C30" t="str">
        <f t="shared" si="0"/>
        <v>1239F</v>
      </c>
      <c r="D30" t="s">
        <v>51</v>
      </c>
      <c r="E30" s="5" t="s">
        <v>50</v>
      </c>
      <c r="F30" t="str">
        <f t="shared" si="1"/>
        <v>Leighton Forrest</v>
      </c>
      <c r="G30" t="str">
        <f t="shared" si="2"/>
        <v>LForrest@zenco.com</v>
      </c>
      <c r="H30" s="1">
        <v>42120</v>
      </c>
      <c r="I30" s="2" t="s">
        <v>69</v>
      </c>
      <c r="J30" s="2" t="s">
        <v>106</v>
      </c>
      <c r="K30" s="2" t="str">
        <f t="shared" si="3"/>
        <v>02</v>
      </c>
      <c r="L30" t="str">
        <f t="shared" si="4"/>
        <v>East</v>
      </c>
      <c r="M30" t="str">
        <f t="shared" si="5"/>
        <v>2284 </v>
      </c>
    </row>
    <row r="31" spans="1:13" x14ac:dyDescent="0.3">
      <c r="A31" s="10">
        <v>1250</v>
      </c>
      <c r="B31" t="s">
        <v>127</v>
      </c>
      <c r="C31" t="str">
        <f t="shared" si="0"/>
        <v>1250F</v>
      </c>
      <c r="D31" t="s">
        <v>49</v>
      </c>
      <c r="E31" s="5" t="s">
        <v>48</v>
      </c>
      <c r="F31" t="str">
        <f t="shared" si="1"/>
        <v>Phoebe Gour</v>
      </c>
      <c r="G31" t="str">
        <f t="shared" si="2"/>
        <v>PGour@zenco.com</v>
      </c>
      <c r="H31" s="1">
        <v>42721</v>
      </c>
      <c r="I31" s="2" t="s">
        <v>69</v>
      </c>
      <c r="J31" s="2" t="s">
        <v>107</v>
      </c>
      <c r="K31" s="2" t="str">
        <f t="shared" si="3"/>
        <v>02</v>
      </c>
      <c r="L31" t="str">
        <f t="shared" si="4"/>
        <v>East</v>
      </c>
      <c r="M31" t="str">
        <f t="shared" si="5"/>
        <v>2910 </v>
      </c>
    </row>
    <row r="32" spans="1:13" x14ac:dyDescent="0.3">
      <c r="A32" s="10">
        <v>1192</v>
      </c>
      <c r="B32" t="s">
        <v>128</v>
      </c>
      <c r="C32" t="str">
        <f t="shared" si="0"/>
        <v>1192P</v>
      </c>
      <c r="D32" t="s">
        <v>47</v>
      </c>
      <c r="E32" s="5" t="s">
        <v>46</v>
      </c>
      <c r="F32" t="str">
        <f t="shared" si="1"/>
        <v>Mihael Khan</v>
      </c>
      <c r="G32" t="str">
        <f t="shared" si="2"/>
        <v>MKhan@zenco.com</v>
      </c>
      <c r="H32" s="1">
        <v>40160</v>
      </c>
      <c r="I32" s="2" t="s">
        <v>69</v>
      </c>
      <c r="J32" s="2" t="s">
        <v>108</v>
      </c>
      <c r="K32" s="2" t="str">
        <f t="shared" si="3"/>
        <v>02</v>
      </c>
      <c r="L32" t="str">
        <f t="shared" si="4"/>
        <v>North</v>
      </c>
      <c r="M32" t="str">
        <f t="shared" si="5"/>
        <v>2294 </v>
      </c>
    </row>
    <row r="33" spans="1:13" x14ac:dyDescent="0.3">
      <c r="A33" s="10">
        <v>1249</v>
      </c>
      <c r="B33" t="s">
        <v>128</v>
      </c>
      <c r="C33" t="str">
        <f t="shared" si="0"/>
        <v>1249P</v>
      </c>
      <c r="D33" t="s">
        <v>75</v>
      </c>
      <c r="E33" s="5" t="s">
        <v>74</v>
      </c>
      <c r="F33" t="str">
        <f t="shared" si="1"/>
        <v>Sean SANDERS</v>
      </c>
      <c r="G33" t="str">
        <f t="shared" si="2"/>
        <v>SSANDERS@zenco.com</v>
      </c>
      <c r="H33" s="1">
        <v>42691</v>
      </c>
      <c r="I33" s="2" t="s">
        <v>17</v>
      </c>
      <c r="J33" s="2" t="s">
        <v>109</v>
      </c>
      <c r="K33" s="2" t="str">
        <f t="shared" si="3"/>
        <v>03</v>
      </c>
      <c r="L33" t="str">
        <f t="shared" si="4"/>
        <v>West</v>
      </c>
      <c r="M33" t="str">
        <f t="shared" si="5"/>
        <v>2765 </v>
      </c>
    </row>
    <row r="34" spans="1:13" x14ac:dyDescent="0.3">
      <c r="A34" s="10">
        <v>1245</v>
      </c>
      <c r="B34" t="s">
        <v>128</v>
      </c>
      <c r="C34" t="str">
        <f t="shared" si="0"/>
        <v>1245P</v>
      </c>
      <c r="D34" t="s">
        <v>68</v>
      </c>
      <c r="E34" s="5" t="s">
        <v>67</v>
      </c>
      <c r="F34" t="str">
        <f t="shared" si="1"/>
        <v>Preston Senome</v>
      </c>
      <c r="G34" t="str">
        <f t="shared" si="2"/>
        <v>PSenome@zenco.com</v>
      </c>
      <c r="H34" s="1">
        <v>42324</v>
      </c>
      <c r="I34" s="2" t="s">
        <v>69</v>
      </c>
      <c r="J34" s="2" t="s">
        <v>110</v>
      </c>
      <c r="K34" s="2" t="str">
        <f t="shared" si="3"/>
        <v>02</v>
      </c>
      <c r="L34" t="str">
        <f t="shared" si="4"/>
        <v>East</v>
      </c>
      <c r="M34" t="str">
        <f t="shared" si="5"/>
        <v>2260 </v>
      </c>
    </row>
    <row r="35" spans="1:13" x14ac:dyDescent="0.3">
      <c r="A35" s="10">
        <v>1207</v>
      </c>
      <c r="B35" t="s">
        <v>128</v>
      </c>
      <c r="C35" t="str">
        <f>A35&amp;B35</f>
        <v>1207P</v>
      </c>
      <c r="D35" t="s">
        <v>53</v>
      </c>
      <c r="E35" s="5" t="s">
        <v>52</v>
      </c>
      <c r="F35" t="str">
        <f t="shared" si="1"/>
        <v>Natasha Song</v>
      </c>
      <c r="G35" t="str">
        <f t="shared" si="2"/>
        <v>NSong@zenco.com</v>
      </c>
      <c r="H35" s="1">
        <v>40713</v>
      </c>
      <c r="I35" s="2" t="s">
        <v>69</v>
      </c>
      <c r="J35" s="2" t="s">
        <v>111</v>
      </c>
      <c r="K35" s="2" t="str">
        <f t="shared" si="3"/>
        <v>02</v>
      </c>
      <c r="L35" t="str">
        <f t="shared" si="4"/>
        <v>East</v>
      </c>
      <c r="M35" t="str">
        <f t="shared" si="5"/>
        <v>2578 </v>
      </c>
    </row>
    <row r="36" spans="1:13" x14ac:dyDescent="0.3">
      <c r="A36" s="10">
        <v>1244</v>
      </c>
      <c r="B36" t="s">
        <v>128</v>
      </c>
      <c r="C36" t="str">
        <f t="shared" si="0"/>
        <v>1244P</v>
      </c>
      <c r="D36" t="s">
        <v>66</v>
      </c>
      <c r="E36" s="5" t="s">
        <v>65</v>
      </c>
      <c r="F36" t="str">
        <f t="shared" si="1"/>
        <v>Radhya Staples</v>
      </c>
      <c r="G36" t="str">
        <f t="shared" si="2"/>
        <v>RStaples@zenco.com</v>
      </c>
      <c r="H36" s="1">
        <v>42321</v>
      </c>
      <c r="I36" s="2" t="s">
        <v>69</v>
      </c>
      <c r="J36" s="2" t="s">
        <v>112</v>
      </c>
      <c r="K36" s="2" t="str">
        <f t="shared" si="3"/>
        <v>02</v>
      </c>
      <c r="L36" t="str">
        <f t="shared" si="4"/>
        <v>East</v>
      </c>
      <c r="M36" t="str">
        <f t="shared" si="5"/>
        <v>2654 </v>
      </c>
    </row>
    <row r="37" spans="1:13" x14ac:dyDescent="0.3">
      <c r="A37" s="10">
        <v>1252</v>
      </c>
      <c r="B37" t="s">
        <v>127</v>
      </c>
      <c r="C37" t="str">
        <f t="shared" si="0"/>
        <v>1252F</v>
      </c>
      <c r="D37" t="s">
        <v>72</v>
      </c>
      <c r="E37" s="5" t="s">
        <v>71</v>
      </c>
      <c r="F37" t="str">
        <f t="shared" si="1"/>
        <v>Mei WANG</v>
      </c>
      <c r="G37" t="str">
        <f t="shared" si="2"/>
        <v>MWANG@zenco.com</v>
      </c>
      <c r="H37" s="1">
        <v>40188</v>
      </c>
      <c r="I37" s="2" t="s">
        <v>28</v>
      </c>
      <c r="J37" s="2" t="s">
        <v>113</v>
      </c>
      <c r="K37" s="2" t="str">
        <f t="shared" si="3"/>
        <v>01</v>
      </c>
      <c r="L37" t="str">
        <f t="shared" si="4"/>
        <v>West</v>
      </c>
      <c r="M37" t="str">
        <f t="shared" si="5"/>
        <v>2783 </v>
      </c>
    </row>
    <row r="38" spans="1:13" x14ac:dyDescent="0.3">
      <c r="A38" s="10">
        <v>1237</v>
      </c>
      <c r="B38" t="s">
        <v>127</v>
      </c>
      <c r="C38" t="str">
        <f t="shared" si="0"/>
        <v>1237F</v>
      </c>
      <c r="D38" t="s">
        <v>55</v>
      </c>
      <c r="E38" s="5" t="s">
        <v>54</v>
      </c>
      <c r="F38" t="str">
        <f t="shared" si="1"/>
        <v>Aanya Zhang</v>
      </c>
      <c r="G38" t="str">
        <f t="shared" si="2"/>
        <v>AZhang@zenco.com</v>
      </c>
      <c r="H38" s="1">
        <v>42002</v>
      </c>
      <c r="I38" s="2" t="s">
        <v>69</v>
      </c>
      <c r="J38" s="2" t="s">
        <v>114</v>
      </c>
      <c r="K38" s="2" t="str">
        <f t="shared" si="3"/>
        <v>02</v>
      </c>
      <c r="L38" t="str">
        <f t="shared" si="4"/>
        <v>East</v>
      </c>
      <c r="M38" t="str">
        <f t="shared" si="5"/>
        <v>2793 </v>
      </c>
    </row>
  </sheetData>
  <sortState xmlns:xlrd2="http://schemas.microsoft.com/office/spreadsheetml/2017/richdata2" ref="A4:J38">
    <sortCondition ref="D6"/>
  </sortState>
  <pageMargins left="0.7" right="0.7" top="0.75" bottom="0.75" header="0.3" footer="0.3"/>
  <pageSetup paperSize="9" orientation="portrait" horizontalDpi="75" verticalDpi="7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23D39-DBE8-4D6E-B6D3-3A9A213B8CF3}">
  <sheetPr codeName="Sheet3"/>
  <dimension ref="A2:M10"/>
  <sheetViews>
    <sheetView zoomScale="77" zoomScaleNormal="100" workbookViewId="0">
      <selection activeCell="P8" sqref="P8"/>
    </sheetView>
  </sheetViews>
  <sheetFormatPr defaultRowHeight="14.4" x14ac:dyDescent="0.3"/>
  <cols>
    <col min="1" max="1" width="15" bestFit="1" customWidth="1"/>
    <col min="4" max="4" width="11.109375" bestFit="1" customWidth="1"/>
    <col min="5" max="5" width="15" bestFit="1" customWidth="1"/>
    <col min="8" max="8" width="15.6640625" bestFit="1" customWidth="1"/>
    <col min="9" max="9" width="15" bestFit="1" customWidth="1"/>
    <col min="12" max="12" width="11.6640625" bestFit="1" customWidth="1"/>
    <col min="13" max="13" width="15" bestFit="1" customWidth="1"/>
  </cols>
  <sheetData>
    <row r="2" spans="1:13" x14ac:dyDescent="0.3">
      <c r="A2" t="s">
        <v>153</v>
      </c>
      <c r="D2" s="15" t="s">
        <v>80</v>
      </c>
      <c r="E2" t="s">
        <v>153</v>
      </c>
      <c r="H2" s="15" t="s">
        <v>4</v>
      </c>
      <c r="I2" t="s">
        <v>153</v>
      </c>
      <c r="L2" s="15" t="s">
        <v>123</v>
      </c>
      <c r="M2" t="s">
        <v>153</v>
      </c>
    </row>
    <row r="3" spans="1:13" x14ac:dyDescent="0.3">
      <c r="A3" s="16">
        <v>35</v>
      </c>
      <c r="D3" t="s">
        <v>154</v>
      </c>
      <c r="E3" s="16">
        <v>15</v>
      </c>
      <c r="H3" t="s">
        <v>15</v>
      </c>
      <c r="I3" s="16">
        <v>4</v>
      </c>
      <c r="L3" t="s">
        <v>157</v>
      </c>
      <c r="M3" s="16">
        <v>5</v>
      </c>
    </row>
    <row r="4" spans="1:13" x14ac:dyDescent="0.3">
      <c r="D4" t="s">
        <v>155</v>
      </c>
      <c r="E4" s="16">
        <v>4</v>
      </c>
      <c r="H4" t="s">
        <v>30</v>
      </c>
      <c r="I4" s="16">
        <v>5</v>
      </c>
      <c r="L4" t="s">
        <v>158</v>
      </c>
      <c r="M4" s="16">
        <v>20</v>
      </c>
    </row>
    <row r="5" spans="1:13" x14ac:dyDescent="0.3">
      <c r="D5" t="s">
        <v>156</v>
      </c>
      <c r="E5" s="16">
        <v>16</v>
      </c>
      <c r="H5" t="s">
        <v>28</v>
      </c>
      <c r="I5" s="16">
        <v>2</v>
      </c>
      <c r="L5" t="s">
        <v>159</v>
      </c>
      <c r="M5" s="16">
        <v>10</v>
      </c>
    </row>
    <row r="6" spans="1:13" x14ac:dyDescent="0.3">
      <c r="D6" t="s">
        <v>152</v>
      </c>
      <c r="E6" s="16">
        <v>35</v>
      </c>
      <c r="H6" t="s">
        <v>12</v>
      </c>
      <c r="I6" s="16">
        <v>1</v>
      </c>
      <c r="L6" t="s">
        <v>152</v>
      </c>
      <c r="M6" s="16">
        <v>35</v>
      </c>
    </row>
    <row r="7" spans="1:13" x14ac:dyDescent="0.3">
      <c r="H7" t="s">
        <v>17</v>
      </c>
      <c r="I7" s="16">
        <v>3</v>
      </c>
    </row>
    <row r="8" spans="1:13" x14ac:dyDescent="0.3">
      <c r="H8" t="s">
        <v>77</v>
      </c>
      <c r="I8" s="16">
        <v>5</v>
      </c>
    </row>
    <row r="9" spans="1:13" x14ac:dyDescent="0.3">
      <c r="H9" t="s">
        <v>69</v>
      </c>
      <c r="I9" s="16">
        <v>15</v>
      </c>
    </row>
    <row r="10" spans="1:13" x14ac:dyDescent="0.3">
      <c r="H10" t="s">
        <v>152</v>
      </c>
      <c r="I10" s="16">
        <v>35</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9F0D3-A378-4DB8-854C-3AF37C1F8EC9}">
  <sheetPr codeName="Sheet4"/>
  <dimension ref="A1"/>
  <sheetViews>
    <sheetView showGridLines="0" tabSelected="1" zoomScale="53" zoomScaleNormal="53" workbookViewId="0">
      <selection sqref="A1:XFD1048576"/>
    </sheetView>
  </sheetViews>
  <sheetFormatPr defaultRowHeight="14.4" x14ac:dyDescent="0.3"/>
  <sheetData/>
  <sheetProtection sheet="1" formatCells="0" formatColumns="0" formatRows="0" insertColumns="0" insertRows="0" insertHyperlinks="0" deleteColumns="0" deleteRows="0" selectLockedCells="1" sort="0" pivotTables="0" selectUnlockedCells="1"/>
  <pageMargins left="0.70866141732283472" right="0.70866141732283472" top="0.74803149606299213" bottom="0.74803149606299213" header="0.31496062992125984" footer="0.31496062992125984"/>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HR Data</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Venkatesh Sangem</cp:lastModifiedBy>
  <cp:lastPrinted>2026-02-10T11:51:51Z</cp:lastPrinted>
  <dcterms:created xsi:type="dcterms:W3CDTF">2017-06-15T06:51:11Z</dcterms:created>
  <dcterms:modified xsi:type="dcterms:W3CDTF">2026-02-10T11:55:31Z</dcterms:modified>
</cp:coreProperties>
</file>